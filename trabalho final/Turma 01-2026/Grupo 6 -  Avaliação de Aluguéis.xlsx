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ome\Desktop\Pós Perícias\9 - Avaliação de Aluguéis\"/>
    </mc:Choice>
  </mc:AlternateContent>
  <bookViews>
    <workbookView xWindow="0" yWindow="0" windowWidth="20490" windowHeight="7230"/>
  </bookViews>
  <sheets>
    <sheet name="Tabela Excel para Cálculo de Al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1" l="1"/>
  <c r="B25" i="1" l="1"/>
  <c r="B57" i="1"/>
  <c r="B56" i="1"/>
  <c r="B22" i="1"/>
  <c r="B44" i="1"/>
  <c r="B43" i="1"/>
  <c r="F36" i="1" s="1"/>
  <c r="B32" i="1"/>
  <c r="B15" i="1"/>
  <c r="B26" i="1" l="1"/>
  <c r="B27" i="1" s="1"/>
  <c r="B52" i="1" s="1"/>
  <c r="D56" i="1"/>
  <c r="F37" i="1"/>
  <c r="B45" i="1"/>
  <c r="B49" i="1" s="1"/>
  <c r="B51" i="1" s="1"/>
  <c r="B61" i="1" l="1"/>
  <c r="B54" i="1"/>
  <c r="B59" i="1" s="1"/>
  <c r="B55" i="1"/>
  <c r="B60" i="1" s="1"/>
  <c r="D53" i="1"/>
</calcChain>
</file>

<file path=xl/sharedStrings.xml><?xml version="1.0" encoding="utf-8"?>
<sst xmlns="http://schemas.openxmlformats.org/spreadsheetml/2006/main" count="95" uniqueCount="67">
  <si>
    <t>DESCRIÇÃO</t>
  </si>
  <si>
    <t>VALOR</t>
  </si>
  <si>
    <t>UNIDADE</t>
  </si>
  <si>
    <t>DADOS DE ENTRADA</t>
  </si>
  <si>
    <t>Área do Terreno (AT)</t>
  </si>
  <si>
    <t>m²</t>
  </si>
  <si>
    <t>Área Construída Térreo</t>
  </si>
  <si>
    <t>Área Total Construída</t>
  </si>
  <si>
    <t>Idade Aparente</t>
  </si>
  <si>
    <t>anos</t>
  </si>
  <si>
    <t>R$/m²</t>
  </si>
  <si>
    <t>Coeficiente de Padrão</t>
  </si>
  <si>
    <t>-</t>
  </si>
  <si>
    <t>Fator Obsolescência (fo)</t>
  </si>
  <si>
    <t>Valor Unit. Terreno Nu (Vu)</t>
  </si>
  <si>
    <t>Taxa de Renda (tr)</t>
  </si>
  <si>
    <t>% a.a.</t>
  </si>
  <si>
    <t>Peso "p" - Térreo</t>
  </si>
  <si>
    <t>fator</t>
  </si>
  <si>
    <t>Peso "p" - Superior</t>
  </si>
  <si>
    <t>R$</t>
  </si>
  <si>
    <t>Área Construída Superiores</t>
  </si>
  <si>
    <t>Valor do Capital-Benfeitorias</t>
  </si>
  <si>
    <t xml:space="preserve">Capital -Benfeitoria </t>
  </si>
  <si>
    <t>Valor do Capital - Terreno</t>
  </si>
  <si>
    <t>qt=</t>
  </si>
  <si>
    <t>Dados do Terreno:</t>
  </si>
  <si>
    <t>Dados da Benfeitoria:</t>
  </si>
  <si>
    <t>Vida util</t>
  </si>
  <si>
    <t>qb=</t>
  </si>
  <si>
    <t>R$/m² x (1,2)</t>
  </si>
  <si>
    <t xml:space="preserve">Pesos: </t>
  </si>
  <si>
    <t>3:1 (térreo:superiores)</t>
  </si>
  <si>
    <r>
      <t>Q</t>
    </r>
    <r>
      <rPr>
        <sz val="9"/>
        <color theme="1"/>
        <rFont val="Arial"/>
        <family val="2"/>
        <scheme val="minor"/>
      </rPr>
      <t>b</t>
    </r>
  </si>
  <si>
    <t>Vt</t>
  </si>
  <si>
    <t>Aproveitamento</t>
  </si>
  <si>
    <t>Taxa de Ocupação (t)</t>
  </si>
  <si>
    <t>Coef. Aproveitamento Máx (c)</t>
  </si>
  <si>
    <t>Área Homogeneizada Existente (Ahe)</t>
  </si>
  <si>
    <t>(150x3) + (300x1)</t>
  </si>
  <si>
    <t>Área Homogeneizada Permitida (Ahp)</t>
  </si>
  <si>
    <t>Coeficiente de Aproveitamento (Ca)</t>
  </si>
  <si>
    <t>Ahe / Ahp</t>
  </si>
  <si>
    <t xml:space="preserve">Calculo do CA </t>
  </si>
  <si>
    <t>térreo = t x 400 x p - superiores = (C-1) x 400 x p</t>
  </si>
  <si>
    <t>Capital - Terreno</t>
  </si>
  <si>
    <r>
      <t>C</t>
    </r>
    <r>
      <rPr>
        <sz val="8"/>
        <color rgb="FF000000"/>
        <rFont val="Arial"/>
        <family val="2"/>
        <scheme val="minor"/>
      </rPr>
      <t>t</t>
    </r>
  </si>
  <si>
    <t>Capital- Terreno</t>
  </si>
  <si>
    <t>Capital-Benfeitorias</t>
  </si>
  <si>
    <t>R$/mês</t>
  </si>
  <si>
    <t>Taxa de comercialização</t>
  </si>
  <si>
    <t>Valor residual</t>
  </si>
  <si>
    <t xml:space="preserve">Custo Unitário Básico </t>
  </si>
  <si>
    <t>cota-parte</t>
  </si>
  <si>
    <t>Capital terreno térreo</t>
  </si>
  <si>
    <t>Capital terreno superiores</t>
  </si>
  <si>
    <t>Taxa de depreciação</t>
  </si>
  <si>
    <t>GRUPO 6:</t>
  </si>
  <si>
    <t>PATRICIA ONISHI PAIXÃO</t>
  </si>
  <si>
    <t>Capital benf. térreo</t>
  </si>
  <si>
    <t>Capital benf. sup</t>
  </si>
  <si>
    <t>ERIKA CAMPANHA OLIVEIRA</t>
  </si>
  <si>
    <t>DAVID MEDEIROS PONTES</t>
  </si>
  <si>
    <t>Arenda Térreo</t>
  </si>
  <si>
    <t>Arenda Total</t>
  </si>
  <si>
    <t>Arenda Superiores</t>
  </si>
  <si>
    <t>MATHEUS VALADARES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</si>
</sst>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164" fontId="1" fillId="0" borderId="0" xfId="0" applyNumberFormat="1" applyFont="1" applyAlignment="1"/>
    <xf numFmtId="0" fontId="6" fillId="4" borderId="9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1" fillId="4" borderId="12" xfId="0" applyFont="1" applyFill="1" applyBorder="1" applyAlignment="1"/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164" fontId="1" fillId="4" borderId="13" xfId="0" applyNumberFormat="1" applyFont="1" applyFill="1" applyBorder="1" applyAlignment="1">
      <alignment horizontal="center"/>
    </xf>
    <xf numFmtId="0" fontId="1" fillId="4" borderId="12" xfId="0" applyFont="1" applyFill="1" applyBorder="1" applyAlignment="1">
      <alignment horizontal="center"/>
    </xf>
    <xf numFmtId="0" fontId="1" fillId="0" borderId="12" xfId="0" applyFont="1" applyBorder="1" applyAlignment="1"/>
    <xf numFmtId="0" fontId="1" fillId="8" borderId="12" xfId="0" applyFont="1" applyFill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5" xfId="0" applyFont="1" applyBorder="1" applyAlignment="1"/>
    <xf numFmtId="0" fontId="1" fillId="0" borderId="5" xfId="0" applyFont="1" applyBorder="1" applyAlignment="1"/>
    <xf numFmtId="9" fontId="1" fillId="0" borderId="7" xfId="0" applyNumberFormat="1" applyFont="1" applyBorder="1" applyAlignment="1"/>
    <xf numFmtId="0" fontId="1" fillId="0" borderId="7" xfId="0" applyFont="1" applyBorder="1" applyAlignment="1"/>
    <xf numFmtId="0" fontId="0" fillId="0" borderId="8" xfId="0" applyFont="1" applyBorder="1" applyAlignment="1"/>
    <xf numFmtId="0" fontId="1" fillId="0" borderId="13" xfId="0" applyFont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9" fontId="1" fillId="0" borderId="13" xfId="0" applyNumberFormat="1" applyFont="1" applyBorder="1" applyAlignment="1">
      <alignment horizontal="center"/>
    </xf>
    <xf numFmtId="164" fontId="1" fillId="8" borderId="13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6" borderId="12" xfId="0" applyFont="1" applyFill="1" applyBorder="1" applyAlignment="1">
      <alignment horizontal="left"/>
    </xf>
    <xf numFmtId="0" fontId="7" fillId="6" borderId="13" xfId="0" applyFont="1" applyFill="1" applyBorder="1" applyAlignment="1">
      <alignment horizontal="left"/>
    </xf>
    <xf numFmtId="0" fontId="7" fillId="6" borderId="1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7" fillId="5" borderId="12" xfId="0" applyFont="1" applyFill="1" applyBorder="1" applyAlignment="1">
      <alignment horizontal="center"/>
    </xf>
    <xf numFmtId="0" fontId="7" fillId="5" borderId="13" xfId="0" applyFont="1" applyFill="1" applyBorder="1" applyAlignment="1">
      <alignment horizontal="center"/>
    </xf>
    <xf numFmtId="0" fontId="7" fillId="5" borderId="14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left" vertical="center"/>
    </xf>
    <xf numFmtId="0" fontId="7" fillId="7" borderId="2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0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1" fillId="9" borderId="15" xfId="0" applyFont="1" applyFill="1" applyBorder="1" applyAlignment="1"/>
    <xf numFmtId="164" fontId="1" fillId="9" borderId="16" xfId="0" applyNumberFormat="1" applyFont="1" applyFill="1" applyBorder="1" applyAlignment="1">
      <alignment horizontal="center"/>
    </xf>
    <xf numFmtId="0" fontId="1" fillId="9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63"/>
  <sheetViews>
    <sheetView tabSelected="1" zoomScaleNormal="100" workbookViewId="0">
      <selection activeCell="A5" sqref="A5:C5"/>
    </sheetView>
  </sheetViews>
  <sheetFormatPr defaultColWidth="12.7109375" defaultRowHeight="15.75" customHeight="1" x14ac:dyDescent="0.2"/>
  <cols>
    <col min="1" max="1" width="33.42578125" customWidth="1"/>
    <col min="2" max="2" width="19.5703125" style="15" bestFit="1" customWidth="1"/>
    <col min="3" max="3" width="12.7109375" style="15"/>
    <col min="4" max="4" width="18.85546875" bestFit="1" customWidth="1"/>
  </cols>
  <sheetData>
    <row r="1" spans="1:7" ht="15.75" customHeight="1" x14ac:dyDescent="0.2">
      <c r="A1" s="32" t="s">
        <v>57</v>
      </c>
      <c r="B1" s="33"/>
      <c r="C1" s="34"/>
    </row>
    <row r="2" spans="1:7" ht="15.75" customHeight="1" x14ac:dyDescent="0.2">
      <c r="A2" s="35" t="s">
        <v>62</v>
      </c>
      <c r="B2" s="36"/>
      <c r="C2" s="37"/>
    </row>
    <row r="3" spans="1:7" ht="15.75" customHeight="1" x14ac:dyDescent="0.2">
      <c r="A3" s="35" t="s">
        <v>61</v>
      </c>
      <c r="B3" s="36"/>
      <c r="C3" s="37"/>
    </row>
    <row r="4" spans="1:7" ht="15.75" customHeight="1" x14ac:dyDescent="0.2">
      <c r="A4" s="35" t="s">
        <v>66</v>
      </c>
      <c r="B4" s="36"/>
      <c r="C4" s="37"/>
    </row>
    <row r="5" spans="1:7" ht="15.75" customHeight="1" thickBot="1" x14ac:dyDescent="0.25">
      <c r="A5" s="38" t="s">
        <v>58</v>
      </c>
      <c r="B5" s="39"/>
      <c r="C5" s="40"/>
    </row>
    <row r="6" spans="1:7" ht="15.75" customHeight="1" thickBot="1" x14ac:dyDescent="0.25"/>
    <row r="7" spans="1:7" ht="15" x14ac:dyDescent="0.25">
      <c r="A7" s="4" t="s">
        <v>0</v>
      </c>
      <c r="B7" s="5" t="s">
        <v>1</v>
      </c>
      <c r="C7" s="6" t="s">
        <v>2</v>
      </c>
      <c r="D7" s="1"/>
      <c r="E7" s="1"/>
      <c r="F7" s="1"/>
    </row>
    <row r="8" spans="1:7" ht="12.75" x14ac:dyDescent="0.2">
      <c r="A8" s="41" t="s">
        <v>3</v>
      </c>
      <c r="B8" s="42"/>
      <c r="C8" s="43"/>
      <c r="D8" s="1"/>
      <c r="E8" s="1"/>
      <c r="F8" s="1"/>
    </row>
    <row r="9" spans="1:7" ht="3.75" customHeight="1" thickBot="1" x14ac:dyDescent="0.25">
      <c r="A9" s="7"/>
      <c r="B9" s="8"/>
      <c r="C9" s="9"/>
      <c r="D9" s="1"/>
      <c r="E9" s="1"/>
      <c r="F9" s="1"/>
    </row>
    <row r="10" spans="1:7" ht="12.75" x14ac:dyDescent="0.2">
      <c r="A10" s="29" t="s">
        <v>26</v>
      </c>
      <c r="B10" s="30"/>
      <c r="C10" s="31"/>
      <c r="D10" s="44" t="s">
        <v>27</v>
      </c>
      <c r="E10" s="45"/>
      <c r="F10" s="45"/>
      <c r="G10" s="46"/>
    </row>
    <row r="11" spans="1:7" ht="3.75" customHeight="1" x14ac:dyDescent="0.2">
      <c r="A11" s="11"/>
      <c r="B11" s="8"/>
      <c r="C11" s="9"/>
      <c r="D11" s="47"/>
      <c r="E11" s="48"/>
      <c r="F11" s="48"/>
      <c r="G11" s="49"/>
    </row>
    <row r="12" spans="1:7" ht="12.75" x14ac:dyDescent="0.2">
      <c r="A12" s="12" t="s">
        <v>4</v>
      </c>
      <c r="B12" s="22">
        <v>400</v>
      </c>
      <c r="C12" s="26" t="s">
        <v>5</v>
      </c>
      <c r="D12" s="16" t="s">
        <v>8</v>
      </c>
      <c r="E12" s="16">
        <v>15</v>
      </c>
      <c r="F12" s="16" t="s">
        <v>9</v>
      </c>
      <c r="G12" s="18">
        <f>E12/E13</f>
        <v>0.25</v>
      </c>
    </row>
    <row r="13" spans="1:7" ht="12.75" x14ac:dyDescent="0.2">
      <c r="A13" s="12" t="s">
        <v>6</v>
      </c>
      <c r="B13" s="22">
        <v>150</v>
      </c>
      <c r="C13" s="26" t="s">
        <v>5</v>
      </c>
      <c r="D13" s="16" t="s">
        <v>28</v>
      </c>
      <c r="E13" s="16">
        <v>60</v>
      </c>
      <c r="F13" s="16" t="s">
        <v>9</v>
      </c>
      <c r="G13" s="17"/>
    </row>
    <row r="14" spans="1:7" ht="12.75" x14ac:dyDescent="0.2">
      <c r="A14" s="12" t="s">
        <v>21</v>
      </c>
      <c r="B14" s="22">
        <v>300</v>
      </c>
      <c r="C14" s="26" t="s">
        <v>5</v>
      </c>
      <c r="D14" s="16" t="s">
        <v>15</v>
      </c>
      <c r="E14" s="16">
        <v>0.12</v>
      </c>
      <c r="F14" s="16" t="s">
        <v>16</v>
      </c>
      <c r="G14" s="17"/>
    </row>
    <row r="15" spans="1:7" ht="12.75" x14ac:dyDescent="0.2">
      <c r="A15" s="12" t="s">
        <v>7</v>
      </c>
      <c r="B15" s="22">
        <f>B13+B14</f>
        <v>450</v>
      </c>
      <c r="C15" s="26" t="s">
        <v>5</v>
      </c>
      <c r="D15" s="16" t="s">
        <v>29</v>
      </c>
      <c r="E15" s="16">
        <v>2000</v>
      </c>
      <c r="F15" s="16" t="s">
        <v>30</v>
      </c>
      <c r="G15" s="17"/>
    </row>
    <row r="16" spans="1:7" ht="12.75" x14ac:dyDescent="0.2">
      <c r="A16" s="12" t="s">
        <v>25</v>
      </c>
      <c r="B16" s="22">
        <v>2000</v>
      </c>
      <c r="C16" s="26" t="s">
        <v>10</v>
      </c>
      <c r="D16" s="16"/>
      <c r="E16" s="16"/>
      <c r="F16" s="16"/>
      <c r="G16" s="17"/>
    </row>
    <row r="17" spans="1:7" ht="13.5" thickBot="1" x14ac:dyDescent="0.25">
      <c r="A17" s="12" t="s">
        <v>31</v>
      </c>
      <c r="B17" s="22" t="s">
        <v>32</v>
      </c>
      <c r="C17" s="26"/>
      <c r="D17" s="20" t="s">
        <v>51</v>
      </c>
      <c r="E17" s="19">
        <v>0.2</v>
      </c>
      <c r="F17" s="20"/>
      <c r="G17" s="21"/>
    </row>
    <row r="18" spans="1:7" ht="12.75" x14ac:dyDescent="0.2">
      <c r="A18" s="12" t="s">
        <v>15</v>
      </c>
      <c r="B18" s="22">
        <v>0.08</v>
      </c>
      <c r="C18" s="26" t="s">
        <v>16</v>
      </c>
      <c r="D18" s="1"/>
      <c r="E18" s="1"/>
      <c r="F18" s="1"/>
    </row>
    <row r="19" spans="1:7" ht="4.5" customHeight="1" x14ac:dyDescent="0.2">
      <c r="A19" s="7"/>
      <c r="B19" s="8"/>
      <c r="C19" s="9"/>
      <c r="D19" s="1"/>
      <c r="E19" s="1"/>
      <c r="F19" s="1"/>
    </row>
    <row r="20" spans="1:7" s="2" customFormat="1" ht="12.75" x14ac:dyDescent="0.2">
      <c r="A20" s="29" t="s">
        <v>22</v>
      </c>
      <c r="B20" s="30"/>
      <c r="C20" s="31"/>
      <c r="D20" s="1"/>
      <c r="E20" s="1"/>
      <c r="F20" s="1"/>
    </row>
    <row r="21" spans="1:7" s="2" customFormat="1" ht="3" customHeight="1" x14ac:dyDescent="0.2">
      <c r="A21" s="7"/>
      <c r="B21" s="8"/>
      <c r="C21" s="9"/>
      <c r="D21" s="1"/>
      <c r="E21" s="1"/>
      <c r="F21" s="1"/>
    </row>
    <row r="22" spans="1:7" ht="12.75" x14ac:dyDescent="0.2">
      <c r="A22" s="12" t="s">
        <v>52</v>
      </c>
      <c r="B22" s="23">
        <f>E15*B23</f>
        <v>2400</v>
      </c>
      <c r="C22" s="26" t="s">
        <v>10</v>
      </c>
      <c r="D22" s="1"/>
      <c r="E22" s="1"/>
      <c r="F22" s="1"/>
    </row>
    <row r="23" spans="1:7" ht="12.75" x14ac:dyDescent="0.2">
      <c r="A23" s="12" t="s">
        <v>11</v>
      </c>
      <c r="B23" s="22">
        <v>1.2</v>
      </c>
      <c r="C23" s="26" t="s">
        <v>12</v>
      </c>
      <c r="D23" s="1"/>
      <c r="E23" s="1"/>
      <c r="F23" s="1"/>
    </row>
    <row r="24" spans="1:7" ht="12.75" x14ac:dyDescent="0.2">
      <c r="A24" s="12" t="s">
        <v>13</v>
      </c>
      <c r="B24" s="22">
        <v>0.75</v>
      </c>
      <c r="C24" s="26"/>
      <c r="D24" s="1"/>
      <c r="E24" s="1"/>
      <c r="F24" s="1"/>
    </row>
    <row r="25" spans="1:7" ht="12.75" x14ac:dyDescent="0.2">
      <c r="A25" s="12" t="s">
        <v>56</v>
      </c>
      <c r="B25" s="24">
        <f>B24*0.8+E17</f>
        <v>0.8</v>
      </c>
      <c r="C25" s="26" t="s">
        <v>12</v>
      </c>
      <c r="D25" s="1"/>
      <c r="E25" s="1"/>
      <c r="F25" s="1"/>
    </row>
    <row r="26" spans="1:7" ht="12.75" x14ac:dyDescent="0.2">
      <c r="A26" s="12" t="s">
        <v>33</v>
      </c>
      <c r="B26" s="23">
        <f>B22*(B25)</f>
        <v>1920</v>
      </c>
      <c r="C26" s="26" t="s">
        <v>20</v>
      </c>
      <c r="D26" s="1"/>
      <c r="E26" s="1"/>
      <c r="F26" s="1"/>
    </row>
    <row r="27" spans="1:7" ht="12.75" x14ac:dyDescent="0.2">
      <c r="A27" s="12" t="s">
        <v>23</v>
      </c>
      <c r="B27" s="23">
        <f>B26*B15</f>
        <v>864000</v>
      </c>
      <c r="C27" s="26" t="s">
        <v>20</v>
      </c>
      <c r="D27" s="1"/>
      <c r="E27" s="1"/>
      <c r="F27" s="1"/>
    </row>
    <row r="28" spans="1:7" ht="3.75" customHeight="1" x14ac:dyDescent="0.2">
      <c r="A28" s="7"/>
      <c r="B28" s="8"/>
      <c r="C28" s="9"/>
      <c r="D28" s="1"/>
      <c r="E28" s="1"/>
      <c r="F28" s="1"/>
    </row>
    <row r="29" spans="1:7" ht="12.75" x14ac:dyDescent="0.2">
      <c r="A29" s="29" t="s">
        <v>24</v>
      </c>
      <c r="B29" s="30"/>
      <c r="C29" s="31"/>
      <c r="D29" s="1"/>
      <c r="E29" s="1"/>
      <c r="F29" s="1"/>
    </row>
    <row r="30" spans="1:7" ht="3.75" customHeight="1" x14ac:dyDescent="0.2">
      <c r="A30" s="7"/>
      <c r="B30" s="8"/>
      <c r="C30" s="9"/>
      <c r="D30" s="1"/>
      <c r="E30" s="1"/>
      <c r="F30" s="1"/>
    </row>
    <row r="31" spans="1:7" ht="12.75" x14ac:dyDescent="0.2">
      <c r="A31" s="12" t="s">
        <v>14</v>
      </c>
      <c r="B31" s="23">
        <v>2000</v>
      </c>
      <c r="C31" s="26" t="s">
        <v>10</v>
      </c>
      <c r="D31" s="1"/>
      <c r="E31" s="1"/>
      <c r="F31" s="1"/>
    </row>
    <row r="32" spans="1:7" ht="15.75" customHeight="1" x14ac:dyDescent="0.2">
      <c r="A32" s="12" t="s">
        <v>34</v>
      </c>
      <c r="B32" s="23">
        <f>B31*B12</f>
        <v>800000</v>
      </c>
      <c r="C32" s="26" t="s">
        <v>20</v>
      </c>
      <c r="D32" s="1"/>
      <c r="E32" s="1"/>
      <c r="F32" s="1"/>
    </row>
    <row r="33" spans="1:6" ht="6" customHeight="1" x14ac:dyDescent="0.2">
      <c r="A33" s="7"/>
      <c r="B33" s="8"/>
      <c r="C33" s="9"/>
      <c r="D33" s="1"/>
      <c r="E33" s="1"/>
      <c r="F33" s="1"/>
    </row>
    <row r="34" spans="1:6" ht="15.75" customHeight="1" x14ac:dyDescent="0.2">
      <c r="A34" s="29" t="s">
        <v>35</v>
      </c>
      <c r="B34" s="30"/>
      <c r="C34" s="31"/>
      <c r="D34" s="1"/>
      <c r="E34" s="1"/>
      <c r="F34" s="1"/>
    </row>
    <row r="35" spans="1:6" ht="16.5" customHeight="1" x14ac:dyDescent="0.2">
      <c r="A35" s="7"/>
      <c r="B35" s="8"/>
      <c r="C35" s="9"/>
      <c r="D35" s="1"/>
      <c r="E35" s="1"/>
      <c r="F35" s="1" t="s">
        <v>53</v>
      </c>
    </row>
    <row r="36" spans="1:6" ht="12.75" x14ac:dyDescent="0.2">
      <c r="A36" s="12" t="s">
        <v>17</v>
      </c>
      <c r="B36" s="22">
        <v>3</v>
      </c>
      <c r="C36" s="26" t="s">
        <v>18</v>
      </c>
      <c r="D36" s="14">
        <v>450</v>
      </c>
      <c r="E36" s="1" t="s">
        <v>5</v>
      </c>
      <c r="F36" s="14">
        <f>D36/B43</f>
        <v>0.6</v>
      </c>
    </row>
    <row r="37" spans="1:6" ht="12.75" x14ac:dyDescent="0.2">
      <c r="A37" s="12" t="s">
        <v>19</v>
      </c>
      <c r="B37" s="22">
        <v>1</v>
      </c>
      <c r="C37" s="26" t="s">
        <v>18</v>
      </c>
      <c r="D37" s="14">
        <v>300</v>
      </c>
      <c r="E37" s="1" t="s">
        <v>5</v>
      </c>
      <c r="F37" s="14">
        <f>D37/B43</f>
        <v>0.4</v>
      </c>
    </row>
    <row r="38" spans="1:6" ht="12.75" x14ac:dyDescent="0.2">
      <c r="A38" s="12" t="s">
        <v>36</v>
      </c>
      <c r="B38" s="22">
        <v>0.5</v>
      </c>
      <c r="C38" s="26">
        <v>0.5</v>
      </c>
      <c r="D38" s="14"/>
      <c r="E38" s="1"/>
      <c r="F38" s="1"/>
    </row>
    <row r="39" spans="1:6" ht="12.75" x14ac:dyDescent="0.2">
      <c r="A39" s="12" t="s">
        <v>37</v>
      </c>
      <c r="B39" s="22">
        <v>1</v>
      </c>
      <c r="C39" s="26" t="s">
        <v>12</v>
      </c>
      <c r="D39" s="1"/>
      <c r="E39" s="1"/>
      <c r="F39" s="1"/>
    </row>
    <row r="40" spans="1:6" ht="4.5" customHeight="1" x14ac:dyDescent="0.2">
      <c r="A40" s="7"/>
      <c r="B40" s="8"/>
      <c r="C40" s="9"/>
      <c r="D40" s="1"/>
      <c r="E40" s="1"/>
      <c r="F40" s="1"/>
    </row>
    <row r="41" spans="1:6" ht="15.75" customHeight="1" x14ac:dyDescent="0.2">
      <c r="A41" s="29" t="s">
        <v>43</v>
      </c>
      <c r="B41" s="30"/>
      <c r="C41" s="31"/>
      <c r="D41" s="1"/>
      <c r="E41" s="1"/>
      <c r="F41" s="1"/>
    </row>
    <row r="42" spans="1:6" ht="5.25" customHeight="1" x14ac:dyDescent="0.2">
      <c r="A42" s="7"/>
      <c r="B42" s="8"/>
      <c r="C42" s="9"/>
      <c r="D42" s="1"/>
      <c r="E42" s="1"/>
      <c r="F42" s="1"/>
    </row>
    <row r="43" spans="1:6" ht="12.75" x14ac:dyDescent="0.2">
      <c r="A43" s="12" t="s">
        <v>38</v>
      </c>
      <c r="B43" s="22">
        <f>B13*B36+B14*B37</f>
        <v>750</v>
      </c>
      <c r="C43" s="26" t="s">
        <v>5</v>
      </c>
      <c r="D43" s="1" t="s">
        <v>39</v>
      </c>
      <c r="E43" s="1"/>
      <c r="F43" s="1"/>
    </row>
    <row r="44" spans="1:6" ht="12.75" x14ac:dyDescent="0.2">
      <c r="A44" s="12" t="s">
        <v>40</v>
      </c>
      <c r="B44" s="22">
        <f>(B38*B12*B36)+ (1-B38)*B12*1</f>
        <v>800</v>
      </c>
      <c r="C44" s="26" t="s">
        <v>5</v>
      </c>
      <c r="D44" s="1" t="s">
        <v>44</v>
      </c>
      <c r="E44" s="1"/>
      <c r="F44" s="1"/>
    </row>
    <row r="45" spans="1:6" ht="12.75" x14ac:dyDescent="0.2">
      <c r="A45" s="12" t="s">
        <v>41</v>
      </c>
      <c r="B45" s="22">
        <f>B43/B44</f>
        <v>0.9375</v>
      </c>
      <c r="C45" s="26" t="s">
        <v>18</v>
      </c>
      <c r="D45" s="1" t="s">
        <v>42</v>
      </c>
      <c r="E45" s="1"/>
      <c r="F45" s="1"/>
    </row>
    <row r="46" spans="1:6" ht="6" customHeight="1" x14ac:dyDescent="0.2">
      <c r="A46" s="7"/>
      <c r="B46" s="8"/>
      <c r="C46" s="9"/>
      <c r="D46" s="1"/>
      <c r="E46" s="1"/>
      <c r="F46" s="1"/>
    </row>
    <row r="47" spans="1:6" ht="12.75" x14ac:dyDescent="0.2">
      <c r="A47" s="29" t="s">
        <v>45</v>
      </c>
      <c r="B47" s="30"/>
      <c r="C47" s="31"/>
      <c r="D47" s="1"/>
      <c r="E47" s="1"/>
      <c r="F47" s="1"/>
    </row>
    <row r="48" spans="1:6" ht="4.5" customHeight="1" x14ac:dyDescent="0.2">
      <c r="A48" s="7"/>
      <c r="B48" s="8"/>
      <c r="C48" s="9"/>
      <c r="D48" s="1"/>
      <c r="E48" s="1"/>
      <c r="F48" s="1"/>
    </row>
    <row r="49" spans="1:6" ht="12.75" x14ac:dyDescent="0.2">
      <c r="A49" s="12" t="s">
        <v>46</v>
      </c>
      <c r="B49" s="23">
        <f>B32*B45</f>
        <v>750000</v>
      </c>
      <c r="C49" s="26" t="s">
        <v>20</v>
      </c>
      <c r="D49" s="1"/>
      <c r="E49" s="1"/>
      <c r="F49" s="1"/>
    </row>
    <row r="50" spans="1:6" ht="12.75" x14ac:dyDescent="0.2">
      <c r="A50" s="12" t="s">
        <v>50</v>
      </c>
      <c r="B50" s="22">
        <v>1.1000000000000001</v>
      </c>
      <c r="C50" s="26" t="s">
        <v>12</v>
      </c>
      <c r="D50" s="1"/>
      <c r="E50" s="1"/>
      <c r="F50" s="1"/>
    </row>
    <row r="51" spans="1:6" ht="12.75" x14ac:dyDescent="0.2">
      <c r="A51" s="12" t="s">
        <v>47</v>
      </c>
      <c r="B51" s="23">
        <f>B49*1.1</f>
        <v>825000.00000000012</v>
      </c>
      <c r="C51" s="26" t="s">
        <v>20</v>
      </c>
      <c r="D51" s="1"/>
      <c r="E51" s="1"/>
      <c r="F51" s="1"/>
    </row>
    <row r="52" spans="1:6" ht="12.75" x14ac:dyDescent="0.2">
      <c r="A52" s="12" t="s">
        <v>48</v>
      </c>
      <c r="B52" s="23">
        <f>B27*1.1</f>
        <v>950400.00000000012</v>
      </c>
      <c r="C52" s="26" t="s">
        <v>20</v>
      </c>
      <c r="D52" s="1"/>
      <c r="E52" s="1"/>
      <c r="F52" s="1"/>
    </row>
    <row r="53" spans="1:6" ht="13.5" customHeight="1" x14ac:dyDescent="0.2">
      <c r="A53" s="7"/>
      <c r="B53" s="10"/>
      <c r="C53" s="9"/>
      <c r="D53" s="28">
        <f>B51+B52</f>
        <v>1775400.0000000002</v>
      </c>
      <c r="E53" s="1"/>
      <c r="F53" s="1"/>
    </row>
    <row r="54" spans="1:6" ht="15.75" customHeight="1" x14ac:dyDescent="0.2">
      <c r="A54" s="12" t="s">
        <v>54</v>
      </c>
      <c r="B54" s="23">
        <f>B51*0.6</f>
        <v>495000.00000000006</v>
      </c>
      <c r="C54" s="26" t="s">
        <v>20</v>
      </c>
      <c r="D54" s="14"/>
      <c r="E54" s="1"/>
      <c r="F54" s="1"/>
    </row>
    <row r="55" spans="1:6" ht="15.75" customHeight="1" x14ac:dyDescent="0.2">
      <c r="A55" s="12" t="s">
        <v>55</v>
      </c>
      <c r="B55" s="23">
        <f>B51*0.4</f>
        <v>330000.00000000006</v>
      </c>
      <c r="C55" s="26" t="s">
        <v>20</v>
      </c>
      <c r="D55" s="14"/>
      <c r="E55" s="1"/>
      <c r="F55" s="1"/>
    </row>
    <row r="56" spans="1:6" ht="15.75" customHeight="1" x14ac:dyDescent="0.2">
      <c r="A56" s="12" t="s">
        <v>59</v>
      </c>
      <c r="B56" s="23">
        <f>150*1.2*2000*0.8*1.1</f>
        <v>316800</v>
      </c>
      <c r="C56" s="26" t="s">
        <v>20</v>
      </c>
      <c r="D56" s="28">
        <f>B56+B57</f>
        <v>950400</v>
      </c>
      <c r="E56" s="1"/>
      <c r="F56" s="1"/>
    </row>
    <row r="57" spans="1:6" ht="15.75" customHeight="1" x14ac:dyDescent="0.2">
      <c r="A57" s="12" t="s">
        <v>60</v>
      </c>
      <c r="B57" s="23">
        <f>300*1.2*2000*0.8*1.1</f>
        <v>633600</v>
      </c>
      <c r="C57" s="26" t="s">
        <v>20</v>
      </c>
      <c r="D57" s="1"/>
      <c r="E57" s="1"/>
      <c r="F57" s="1"/>
    </row>
    <row r="58" spans="1:6" ht="5.25" customHeight="1" x14ac:dyDescent="0.2">
      <c r="A58" s="7"/>
      <c r="B58" s="10"/>
      <c r="C58" s="9"/>
      <c r="D58" s="1"/>
      <c r="E58" s="1"/>
      <c r="F58" s="1"/>
    </row>
    <row r="59" spans="1:6" ht="15.75" customHeight="1" x14ac:dyDescent="0.2">
      <c r="A59" s="13" t="s">
        <v>63</v>
      </c>
      <c r="B59" s="25">
        <f>((B54*B18)+(B56*E14))/12</f>
        <v>6468</v>
      </c>
      <c r="C59" s="27" t="s">
        <v>49</v>
      </c>
      <c r="D59" s="1"/>
      <c r="E59" s="1"/>
      <c r="F59" s="1"/>
    </row>
    <row r="60" spans="1:6" ht="15.75" customHeight="1" x14ac:dyDescent="0.2">
      <c r="A60" s="13" t="s">
        <v>65</v>
      </c>
      <c r="B60" s="25">
        <f>((B55*B18)+(B57*E14))/12</f>
        <v>8536</v>
      </c>
      <c r="C60" s="27" t="s">
        <v>49</v>
      </c>
      <c r="D60" s="3"/>
      <c r="E60" s="1"/>
      <c r="F60" s="1"/>
    </row>
    <row r="61" spans="1:6" ht="15.75" customHeight="1" thickBot="1" x14ac:dyDescent="0.25">
      <c r="A61" s="50" t="s">
        <v>64</v>
      </c>
      <c r="B61" s="51">
        <f>((B51*B18)+(B52*E14))/12</f>
        <v>15004.000000000002</v>
      </c>
      <c r="C61" s="52" t="s">
        <v>49</v>
      </c>
      <c r="D61" s="1"/>
      <c r="E61" s="1"/>
      <c r="F61" s="1"/>
    </row>
    <row r="62" spans="1:6" ht="15.75" customHeight="1" x14ac:dyDescent="0.2">
      <c r="A62" s="1"/>
      <c r="B62" s="14"/>
      <c r="C62" s="14"/>
    </row>
    <row r="63" spans="1:6" ht="15.75" customHeight="1" x14ac:dyDescent="0.2">
      <c r="A63" s="1"/>
      <c r="B63" s="14"/>
      <c r="C63" s="14"/>
    </row>
  </sheetData>
  <mergeCells count="13">
    <mergeCell ref="A8:C8"/>
    <mergeCell ref="D10:G11"/>
    <mergeCell ref="A1:C1"/>
    <mergeCell ref="A2:C2"/>
    <mergeCell ref="A3:C3"/>
    <mergeCell ref="A4:C4"/>
    <mergeCell ref="A5:C5"/>
    <mergeCell ref="A47:C47"/>
    <mergeCell ref="A10:C10"/>
    <mergeCell ref="A20:C20"/>
    <mergeCell ref="A29:C29"/>
    <mergeCell ref="A34:C34"/>
    <mergeCell ref="A41:C41"/>
  </mergeCells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Excel para Cálculo de 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2026-01-18T14:19:00Z</dcterms:created>
  <dcterms:modified xsi:type="dcterms:W3CDTF">2026-01-18T14:34:54Z</dcterms:modified>
</cp:coreProperties>
</file>