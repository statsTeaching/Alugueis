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00. Estudos\Pós_Avaliação e Perícia de Imóveis\10-Avaliação de Alugéis\"/>
    </mc:Choice>
  </mc:AlternateContent>
  <xr:revisionPtr revIDLastSave="0" documentId="13_ncr:1_{929B0FBD-7F4E-4A33-9F6D-32B28D924CEA}" xr6:coauthVersionLast="47" xr6:coauthVersionMax="47" xr10:uidLastSave="{00000000-0000-0000-0000-000000000000}"/>
  <bookViews>
    <workbookView xWindow="-120" yWindow="-120" windowWidth="29040" windowHeight="15720" xr2:uid="{81B8E37B-69E1-4129-B411-11FCC757A9CD}"/>
  </bookViews>
  <sheets>
    <sheet name="Grupo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3" i="1"/>
  <c r="C32" i="1"/>
  <c r="C31" i="1"/>
  <c r="C30" i="1"/>
  <c r="C29" i="1"/>
  <c r="C28" i="1" l="1"/>
  <c r="C27" i="1"/>
  <c r="C25" i="1"/>
  <c r="C24" i="1"/>
  <c r="C21" i="1"/>
  <c r="C11" i="1"/>
  <c r="C6" i="1"/>
</calcChain>
</file>

<file path=xl/sharedStrings.xml><?xml version="1.0" encoding="utf-8"?>
<sst xmlns="http://schemas.openxmlformats.org/spreadsheetml/2006/main" count="90" uniqueCount="84">
  <si>
    <t>m²</t>
  </si>
  <si>
    <t>a.a.</t>
  </si>
  <si>
    <t>Valor Unitário do Terreno</t>
  </si>
  <si>
    <t>Sigla</t>
  </si>
  <si>
    <t>Descrição</t>
  </si>
  <si>
    <t>Valor / Unid.</t>
  </si>
  <si>
    <t>DADOS DO TERRENO</t>
  </si>
  <si>
    <t>Aterr​</t>
  </si>
  <si>
    <t>Área do Terreno</t>
  </si>
  <si>
    <t>qt​</t>
  </si>
  <si>
    <t>FC</t>
  </si>
  <si>
    <t>Fator de Comercialização</t>
  </si>
  <si>
    <t>Vterr​</t>
  </si>
  <si>
    <t>Valor de Mercado Global do Terreno</t>
  </si>
  <si>
    <t>it​</t>
  </si>
  <si>
    <t>Taxa de Renda do Terreno</t>
  </si>
  <si>
    <t>DADOS DA BENFEITORIA</t>
  </si>
  <si>
    <t>qbase​</t>
  </si>
  <si>
    <t>Custo Unitário Básico</t>
  </si>
  <si>
    <t>Fajuste​</t>
  </si>
  <si>
    <t>Fator de Ajuste (BDI)</t>
  </si>
  <si>
    <t>qb​</t>
  </si>
  <si>
    <t>Custo Unitário Ajustado</t>
  </si>
  <si>
    <t>Id​</t>
  </si>
  <si>
    <t>Idade Aparente</t>
  </si>
  <si>
    <t>Vu​</t>
  </si>
  <si>
    <t>Vida Útil</t>
  </si>
  <si>
    <t>R</t>
  </si>
  <si>
    <t>Valor Residual</t>
  </si>
  <si>
    <t>ib​</t>
  </si>
  <si>
    <t>Taxa de Renda da Benfeitoria</t>
  </si>
  <si>
    <t>CÁLCULO DA COTA PARTE (CP)</t>
  </si>
  <si>
    <t>Peso Térreo</t>
  </si>
  <si>
    <t>Psup​</t>
  </si>
  <si>
    <t>Peso Superiores</t>
  </si>
  <si>
    <t>Área Térreo</t>
  </si>
  <si>
    <t>Asup​</t>
  </si>
  <si>
    <t>Área Superiores (1º e 2º andares)</t>
  </si>
  <si>
    <t>Aeq_total​</t>
  </si>
  <si>
    <t>Área Equivalente Total do Prédio</t>
  </si>
  <si>
    <t>Apriv​</t>
  </si>
  <si>
    <t>Área Privativa da Unidade (G4)</t>
  </si>
  <si>
    <t>Punid​</t>
  </si>
  <si>
    <t>Peso da Unidade (2º andar)</t>
  </si>
  <si>
    <t>Aeq_unid​</t>
  </si>
  <si>
    <t>Área Equivalente da Unidade</t>
  </si>
  <si>
    <t>CP</t>
  </si>
  <si>
    <t>Cota Parte (Fração Ideal)</t>
  </si>
  <si>
    <t>CÁLCULO DO ALUGUEL</t>
  </si>
  <si>
    <t>Vterr_unid​</t>
  </si>
  <si>
    <t>Valor do Terreno da Unidade</t>
  </si>
  <si>
    <t>Alterr​</t>
  </si>
  <si>
    <t>Aluguel Mensal do Terreno</t>
  </si>
  <si>
    <t>Vnovo​</t>
  </si>
  <si>
    <t>Custo de Reprodução Novo</t>
  </si>
  <si>
    <t>Kd​</t>
  </si>
  <si>
    <t>Coeficiente de Depreciação</t>
  </si>
  <si>
    <t>Vdep​</t>
  </si>
  <si>
    <t>Valor Depreciado</t>
  </si>
  <si>
    <t>Vbenf​</t>
  </si>
  <si>
    <t>Valor de Mercado Benfeitoria (c/ FC)</t>
  </si>
  <si>
    <t>Albenf​</t>
  </si>
  <si>
    <t>Aluguel Mensal da Benfeitoria</t>
  </si>
  <si>
    <t>TOTAL</t>
  </si>
  <si>
    <t>Aluguel Final Sugerido</t>
  </si>
  <si>
    <t>un.</t>
  </si>
  <si>
    <t>Fórmula</t>
  </si>
  <si>
    <t>anos</t>
  </si>
  <si>
    <t>meq2​</t>
  </si>
  <si>
    <t>Ptérreo​</t>
  </si>
  <si>
    <t>Atérreo​</t>
  </si>
  <si>
    <t>Aeq_unid​/Aeq_total​</t>
  </si>
  <si>
    <t>Aterr​ X qt X FC</t>
  </si>
  <si>
    <t>qbase​ X Fajuste​</t>
  </si>
  <si>
    <t>(Atérreo​ X Ptérreo​)+(Asup​ X Psup​)</t>
  </si>
  <si>
    <t>Apriv​ X Punid​</t>
  </si>
  <si>
    <t>Vterr X CP</t>
  </si>
  <si>
    <t>(Vterr​ X it)/12</t>
  </si>
  <si>
    <t>Apriv​ X qb</t>
  </si>
  <si>
    <t>R+(1-R) X ((Vu-id)/Vu)</t>
  </si>
  <si>
    <t>Vnovo​ X Kd</t>
  </si>
  <si>
    <t>Vdep​ X FC</t>
  </si>
  <si>
    <t>(Vben X ib)/12</t>
  </si>
  <si>
    <t>Alterr​ + Albenf​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</si>
</sst>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962D-95F7-4A7B-A30A-2EB6A3216CD3}">
  <dimension ref="A1:E34"/>
  <sheetViews>
    <sheetView tabSelected="1" workbookViewId="0">
      <selection activeCell="E9" sqref="E9"/>
    </sheetView>
  </sheetViews>
  <sheetFormatPr defaultRowHeight="15" x14ac:dyDescent="0.25"/>
  <cols>
    <col min="1" max="1" width="30" style="1" bestFit="1" customWidth="1"/>
    <col min="2" max="2" width="31.85546875" style="1" bestFit="1" customWidth="1"/>
    <col min="3" max="3" width="13.140625" style="1" bestFit="1" customWidth="1"/>
    <col min="4" max="4" width="13.140625" style="1" customWidth="1"/>
    <col min="5" max="5" width="43.140625" style="1" customWidth="1"/>
  </cols>
  <sheetData>
    <row r="1" spans="1:5" x14ac:dyDescent="0.25">
      <c r="A1" s="8" t="s">
        <v>3</v>
      </c>
      <c r="B1" s="8" t="s">
        <v>4</v>
      </c>
      <c r="C1" s="8" t="s">
        <v>5</v>
      </c>
      <c r="D1" s="8" t="s">
        <v>65</v>
      </c>
      <c r="E1" s="8" t="s">
        <v>66</v>
      </c>
    </row>
    <row r="2" spans="1:5" x14ac:dyDescent="0.25">
      <c r="A2" s="2" t="s">
        <v>6</v>
      </c>
      <c r="B2" s="2"/>
      <c r="C2" s="2"/>
      <c r="D2" s="2"/>
      <c r="E2" s="2"/>
    </row>
    <row r="3" spans="1:5" x14ac:dyDescent="0.25">
      <c r="A3" s="3" t="s">
        <v>7</v>
      </c>
      <c r="B3" s="3" t="s">
        <v>8</v>
      </c>
      <c r="C3" s="3">
        <v>400</v>
      </c>
      <c r="D3" s="3" t="s">
        <v>0</v>
      </c>
      <c r="E3" s="3"/>
    </row>
    <row r="4" spans="1:5" x14ac:dyDescent="0.25">
      <c r="A4" s="3" t="s">
        <v>9</v>
      </c>
      <c r="B4" s="3" t="s">
        <v>2</v>
      </c>
      <c r="C4" s="4">
        <v>2000</v>
      </c>
      <c r="D4" s="4"/>
      <c r="E4" s="3"/>
    </row>
    <row r="5" spans="1:5" x14ac:dyDescent="0.25">
      <c r="A5" s="3" t="s">
        <v>10</v>
      </c>
      <c r="B5" s="3" t="s">
        <v>11</v>
      </c>
      <c r="C5" s="3">
        <v>1.1000000000000001</v>
      </c>
      <c r="D5" s="3"/>
      <c r="E5" s="3"/>
    </row>
    <row r="6" spans="1:5" x14ac:dyDescent="0.25">
      <c r="A6" s="3" t="s">
        <v>12</v>
      </c>
      <c r="B6" s="3" t="s">
        <v>13</v>
      </c>
      <c r="C6" s="4">
        <f>C3*C4*C5</f>
        <v>880000.00000000012</v>
      </c>
      <c r="D6" s="4"/>
      <c r="E6" s="3" t="s">
        <v>72</v>
      </c>
    </row>
    <row r="7" spans="1:5" x14ac:dyDescent="0.25">
      <c r="A7" s="3" t="s">
        <v>14</v>
      </c>
      <c r="B7" s="3" t="s">
        <v>15</v>
      </c>
      <c r="C7" s="5">
        <v>0.08</v>
      </c>
      <c r="D7" s="3" t="s">
        <v>1</v>
      </c>
      <c r="E7" s="3"/>
    </row>
    <row r="8" spans="1:5" x14ac:dyDescent="0.25">
      <c r="A8" s="2" t="s">
        <v>16</v>
      </c>
      <c r="B8" s="2"/>
      <c r="C8" s="2"/>
      <c r="D8" s="2"/>
      <c r="E8" s="2"/>
    </row>
    <row r="9" spans="1:5" x14ac:dyDescent="0.25">
      <c r="A9" s="3" t="s">
        <v>17</v>
      </c>
      <c r="B9" s="3" t="s">
        <v>18</v>
      </c>
      <c r="C9" s="4">
        <v>2000</v>
      </c>
      <c r="D9" s="4"/>
      <c r="E9" s="3"/>
    </row>
    <row r="10" spans="1:5" x14ac:dyDescent="0.25">
      <c r="A10" s="3" t="s">
        <v>19</v>
      </c>
      <c r="B10" s="3" t="s">
        <v>20</v>
      </c>
      <c r="C10" s="3">
        <v>1.2</v>
      </c>
      <c r="D10" s="3"/>
      <c r="E10" s="3"/>
    </row>
    <row r="11" spans="1:5" x14ac:dyDescent="0.25">
      <c r="A11" s="3" t="s">
        <v>21</v>
      </c>
      <c r="B11" s="3" t="s">
        <v>22</v>
      </c>
      <c r="C11" s="4">
        <f>C9*C10</f>
        <v>2400</v>
      </c>
      <c r="D11" s="4"/>
      <c r="E11" s="3" t="s">
        <v>73</v>
      </c>
    </row>
    <row r="12" spans="1:5" x14ac:dyDescent="0.25">
      <c r="A12" s="3" t="s">
        <v>23</v>
      </c>
      <c r="B12" s="3" t="s">
        <v>24</v>
      </c>
      <c r="C12" s="3">
        <v>15</v>
      </c>
      <c r="D12" s="3" t="s">
        <v>67</v>
      </c>
      <c r="E12" s="3"/>
    </row>
    <row r="13" spans="1:5" x14ac:dyDescent="0.25">
      <c r="A13" s="3" t="s">
        <v>25</v>
      </c>
      <c r="B13" s="3" t="s">
        <v>26</v>
      </c>
      <c r="C13" s="3">
        <v>60</v>
      </c>
      <c r="D13" s="3" t="s">
        <v>67</v>
      </c>
      <c r="E13" s="3"/>
    </row>
    <row r="14" spans="1:5" x14ac:dyDescent="0.25">
      <c r="A14" s="3" t="s">
        <v>27</v>
      </c>
      <c r="B14" s="3" t="s">
        <v>28</v>
      </c>
      <c r="C14" s="5">
        <v>0.2</v>
      </c>
      <c r="D14" s="5"/>
      <c r="E14" s="3"/>
    </row>
    <row r="15" spans="1:5" x14ac:dyDescent="0.25">
      <c r="A15" s="3" t="s">
        <v>29</v>
      </c>
      <c r="B15" s="3" t="s">
        <v>30</v>
      </c>
      <c r="C15" s="5">
        <v>0.12</v>
      </c>
      <c r="D15" s="3" t="s">
        <v>1</v>
      </c>
      <c r="E15" s="3"/>
    </row>
    <row r="16" spans="1:5" x14ac:dyDescent="0.25">
      <c r="A16" s="2" t="s">
        <v>31</v>
      </c>
      <c r="B16" s="2"/>
      <c r="C16" s="2"/>
      <c r="D16" s="2"/>
      <c r="E16" s="2"/>
    </row>
    <row r="17" spans="1:5" x14ac:dyDescent="0.25">
      <c r="A17" s="3" t="s">
        <v>69</v>
      </c>
      <c r="B17" s="3" t="s">
        <v>32</v>
      </c>
      <c r="C17" s="3">
        <v>3</v>
      </c>
      <c r="D17" s="3"/>
      <c r="E17" s="3"/>
    </row>
    <row r="18" spans="1:5" x14ac:dyDescent="0.25">
      <c r="A18" s="3" t="s">
        <v>33</v>
      </c>
      <c r="B18" s="3" t="s">
        <v>34</v>
      </c>
      <c r="C18" s="3">
        <v>1</v>
      </c>
      <c r="D18" s="3"/>
      <c r="E18" s="3"/>
    </row>
    <row r="19" spans="1:5" x14ac:dyDescent="0.25">
      <c r="A19" s="3" t="s">
        <v>70</v>
      </c>
      <c r="B19" s="3" t="s">
        <v>35</v>
      </c>
      <c r="C19" s="3">
        <v>150</v>
      </c>
      <c r="D19" s="3" t="s">
        <v>0</v>
      </c>
      <c r="E19" s="3"/>
    </row>
    <row r="20" spans="1:5" x14ac:dyDescent="0.25">
      <c r="A20" s="3" t="s">
        <v>36</v>
      </c>
      <c r="B20" s="3" t="s">
        <v>37</v>
      </c>
      <c r="C20" s="3">
        <v>300</v>
      </c>
      <c r="D20" s="3" t="s">
        <v>0</v>
      </c>
      <c r="E20" s="3"/>
    </row>
    <row r="21" spans="1:5" x14ac:dyDescent="0.25">
      <c r="A21" s="3" t="s">
        <v>38</v>
      </c>
      <c r="B21" s="3" t="s">
        <v>39</v>
      </c>
      <c r="C21" s="3">
        <f>C19*C17+C20*C18</f>
        <v>750</v>
      </c>
      <c r="D21" s="3" t="s">
        <v>68</v>
      </c>
      <c r="E21" s="3" t="s">
        <v>74</v>
      </c>
    </row>
    <row r="22" spans="1:5" x14ac:dyDescent="0.25">
      <c r="A22" s="3" t="s">
        <v>40</v>
      </c>
      <c r="B22" s="3" t="s">
        <v>41</v>
      </c>
      <c r="C22" s="3">
        <v>60</v>
      </c>
      <c r="D22" s="3" t="s">
        <v>0</v>
      </c>
      <c r="E22" s="3"/>
    </row>
    <row r="23" spans="1:5" x14ac:dyDescent="0.25">
      <c r="A23" s="3" t="s">
        <v>42</v>
      </c>
      <c r="B23" s="3" t="s">
        <v>43</v>
      </c>
      <c r="C23" s="3">
        <v>1</v>
      </c>
      <c r="D23" s="3"/>
      <c r="E23" s="3"/>
    </row>
    <row r="24" spans="1:5" x14ac:dyDescent="0.25">
      <c r="A24" s="3" t="s">
        <v>44</v>
      </c>
      <c r="B24" s="3" t="s">
        <v>45</v>
      </c>
      <c r="C24" s="3">
        <f>C22*C23</f>
        <v>60</v>
      </c>
      <c r="D24" s="3" t="s">
        <v>68</v>
      </c>
      <c r="E24" s="3" t="s">
        <v>75</v>
      </c>
    </row>
    <row r="25" spans="1:5" x14ac:dyDescent="0.25">
      <c r="A25" s="3" t="s">
        <v>46</v>
      </c>
      <c r="B25" s="3" t="s">
        <v>47</v>
      </c>
      <c r="C25" s="6">
        <f>C24/C21</f>
        <v>0.08</v>
      </c>
      <c r="D25" s="3"/>
      <c r="E25" s="3" t="s">
        <v>71</v>
      </c>
    </row>
    <row r="26" spans="1:5" x14ac:dyDescent="0.25">
      <c r="A26" s="2" t="s">
        <v>48</v>
      </c>
      <c r="B26" s="2"/>
      <c r="C26" s="2"/>
      <c r="D26" s="2"/>
      <c r="E26" s="2"/>
    </row>
    <row r="27" spans="1:5" x14ac:dyDescent="0.25">
      <c r="A27" s="3" t="s">
        <v>49</v>
      </c>
      <c r="B27" s="3" t="s">
        <v>50</v>
      </c>
      <c r="C27" s="4">
        <f>C6*C25</f>
        <v>70400.000000000015</v>
      </c>
      <c r="D27" s="4"/>
      <c r="E27" s="3" t="s">
        <v>76</v>
      </c>
    </row>
    <row r="28" spans="1:5" x14ac:dyDescent="0.25">
      <c r="A28" s="3" t="s">
        <v>51</v>
      </c>
      <c r="B28" s="3" t="s">
        <v>52</v>
      </c>
      <c r="C28" s="4">
        <f>(C27*C7)/12</f>
        <v>469.33333333333343</v>
      </c>
      <c r="D28" s="4"/>
      <c r="E28" s="3" t="s">
        <v>77</v>
      </c>
    </row>
    <row r="29" spans="1:5" x14ac:dyDescent="0.25">
      <c r="A29" s="3" t="s">
        <v>53</v>
      </c>
      <c r="B29" s="3" t="s">
        <v>54</v>
      </c>
      <c r="C29" s="4">
        <f>C22*C11</f>
        <v>144000</v>
      </c>
      <c r="D29" s="4"/>
      <c r="E29" s="3" t="s">
        <v>78</v>
      </c>
    </row>
    <row r="30" spans="1:5" x14ac:dyDescent="0.25">
      <c r="A30" s="3" t="s">
        <v>55</v>
      </c>
      <c r="B30" s="3" t="s">
        <v>56</v>
      </c>
      <c r="C30" s="7">
        <f>C14+(1-C14)*((C13-C12)/C13)</f>
        <v>0.8</v>
      </c>
      <c r="D30" s="3"/>
      <c r="E30" s="3" t="s">
        <v>79</v>
      </c>
    </row>
    <row r="31" spans="1:5" x14ac:dyDescent="0.25">
      <c r="A31" s="3" t="s">
        <v>57</v>
      </c>
      <c r="B31" s="3" t="s">
        <v>58</v>
      </c>
      <c r="C31" s="4">
        <f>C29*C30</f>
        <v>115200</v>
      </c>
      <c r="D31" s="4"/>
      <c r="E31" s="3" t="s">
        <v>80</v>
      </c>
    </row>
    <row r="32" spans="1:5" x14ac:dyDescent="0.25">
      <c r="A32" s="3" t="s">
        <v>59</v>
      </c>
      <c r="B32" s="3" t="s">
        <v>60</v>
      </c>
      <c r="C32" s="4">
        <f>C31*C5</f>
        <v>126720.00000000001</v>
      </c>
      <c r="D32" s="4"/>
      <c r="E32" s="3" t="s">
        <v>81</v>
      </c>
    </row>
    <row r="33" spans="1:5" x14ac:dyDescent="0.25">
      <c r="A33" s="3" t="s">
        <v>61</v>
      </c>
      <c r="B33" s="3" t="s">
        <v>62</v>
      </c>
      <c r="C33" s="4">
        <f>(C32*C15)/12</f>
        <v>1267.2</v>
      </c>
      <c r="D33" s="4"/>
      <c r="E33" s="3" t="s">
        <v>82</v>
      </c>
    </row>
    <row r="34" spans="1:5" x14ac:dyDescent="0.25">
      <c r="A34" s="3" t="s">
        <v>63</v>
      </c>
      <c r="B34" s="3" t="s">
        <v>64</v>
      </c>
      <c r="C34" s="4">
        <f>C28+C33</f>
        <v>1736.5333333333335</v>
      </c>
      <c r="D34" s="4"/>
      <c r="E34" s="3" t="s">
        <v>83</v>
      </c>
    </row>
  </sheetData>
  <mergeCells count="4">
    <mergeCell ref="A2:E2"/>
    <mergeCell ref="A8:E8"/>
    <mergeCell ref="A16:E16"/>
    <mergeCell ref="A26:E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Barbosa</dc:creator>
  <cp:lastModifiedBy>Igor Barbosa</cp:lastModifiedBy>
  <dcterms:created xsi:type="dcterms:W3CDTF">2026-01-18T12:31:13Z</dcterms:created>
  <dcterms:modified xsi:type="dcterms:W3CDTF">2026-01-18T13:03:40Z</dcterms:modified>
</cp:coreProperties>
</file>