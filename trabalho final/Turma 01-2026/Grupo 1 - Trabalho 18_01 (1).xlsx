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Home\Desktop\Pos Wellington\pos graduacao em avaliacoes e pericias\Aula 10 - AVALIAÇÃO DE ALUGUÉIS\"/>
    </mc:Choice>
  </mc:AlternateContent>
  <xr:revisionPtr revIDLastSave="0" documentId="8_{62F36720-6500-4701-99A6-93BDE18C8585}" xr6:coauthVersionLast="36" xr6:coauthVersionMax="36" xr10:uidLastSave="{00000000-0000-0000-0000-000000000000}"/>
  <bookViews>
    <workbookView xWindow="0" yWindow="0" windowWidth="16530" windowHeight="9780" xr2:uid="{26CF78E8-472F-457C-9F3C-EEF2B730F089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0" i="1" l="1"/>
  <c r="D63" i="1"/>
  <c r="D66" i="1"/>
  <c r="D62" i="1"/>
  <c r="D52" i="1"/>
  <c r="D49" i="1"/>
  <c r="D46" i="1"/>
  <c r="E39" i="1" l="1"/>
  <c r="E29" i="1"/>
  <c r="E28" i="1"/>
  <c r="D20" i="1"/>
  <c r="E24" i="1"/>
  <c r="E25" i="1"/>
  <c r="D31" i="1" l="1"/>
</calcChain>
</file>

<file path=xl/sharedStrings.xml><?xml version="1.0" encoding="utf-8"?>
<sst xmlns="http://schemas.openxmlformats.org/spreadsheetml/2006/main" count="63" uniqueCount="62">
  <si>
    <t xml:space="preserve">DADOS DO TERRENO </t>
  </si>
  <si>
    <t>CA BÁSICO</t>
  </si>
  <si>
    <t>qt</t>
  </si>
  <si>
    <t>ÁREA</t>
  </si>
  <si>
    <t>TO</t>
  </si>
  <si>
    <t>PESOS</t>
  </si>
  <si>
    <t>%</t>
  </si>
  <si>
    <t>TAXA DE RENDA (a.a.)</t>
  </si>
  <si>
    <t>WT</t>
  </si>
  <si>
    <t>(Térreo:superiores)</t>
  </si>
  <si>
    <t>ÁREA LOJA</t>
  </si>
  <si>
    <t>TERRENO UNIDADE - COTA PARTE</t>
  </si>
  <si>
    <t>BENFEITORIA</t>
  </si>
  <si>
    <t>TAXA COMPOSTA</t>
  </si>
  <si>
    <t>VALOR ALUGUEL</t>
  </si>
  <si>
    <t>ÁREA HOM. UNIDADE</t>
  </si>
  <si>
    <t xml:space="preserve">T= </t>
  </si>
  <si>
    <t>C=</t>
  </si>
  <si>
    <t xml:space="preserve">P = </t>
  </si>
  <si>
    <t>PESO PAVIMENTO TERREO</t>
  </si>
  <si>
    <t>TAXA OCUPAÇÃO</t>
  </si>
  <si>
    <t>COEFICIENTE APROVEITAMENTO TERRENO</t>
  </si>
  <si>
    <t>ÁREA DA LOJA - TERREA</t>
  </si>
  <si>
    <t>ÁREA HOMO UNIDADE</t>
  </si>
  <si>
    <t>Ahu=</t>
  </si>
  <si>
    <t>VALOR UNITÁRIO TERRENO</t>
  </si>
  <si>
    <t>qt=</t>
  </si>
  <si>
    <t>CTU</t>
  </si>
  <si>
    <t>m²</t>
  </si>
  <si>
    <t>R$/m²</t>
  </si>
  <si>
    <t>VALOR CAPITAL BENFEITORIAS</t>
  </si>
  <si>
    <t>ÁREA DA UNIDADE</t>
  </si>
  <si>
    <t>A=</t>
  </si>
  <si>
    <t>VALOR UNITÁRIO BÁSICO CONSTRUÇÃO</t>
  </si>
  <si>
    <t>qb novo =</t>
  </si>
  <si>
    <t xml:space="preserve">COEFICIENTE PADRÃO </t>
  </si>
  <si>
    <t xml:space="preserve">IDADE APARENTE </t>
  </si>
  <si>
    <t>VIDA ÚTIL ADOTADA</t>
  </si>
  <si>
    <t>VALOR RESIDUAL</t>
  </si>
  <si>
    <t>R</t>
  </si>
  <si>
    <t>v</t>
  </si>
  <si>
    <t>V</t>
  </si>
  <si>
    <t>Fator de depreciação</t>
  </si>
  <si>
    <t>fd</t>
  </si>
  <si>
    <t xml:space="preserve">Valor unitário depreciado </t>
  </si>
  <si>
    <t>qbdep</t>
  </si>
  <si>
    <t xml:space="preserve">PASSO 1 </t>
  </si>
  <si>
    <t>PASSO 2</t>
  </si>
  <si>
    <t>Capital da benfeitoria da unidade</t>
  </si>
  <si>
    <t>Cbu</t>
  </si>
  <si>
    <t>PASSO 3</t>
  </si>
  <si>
    <r>
      <t xml:space="preserve">CTu = </t>
    </r>
    <r>
      <rPr>
        <b/>
        <sz val="11"/>
        <color theme="1"/>
        <rFont val="Aptos Narrow"/>
        <family val="2"/>
        <scheme val="minor"/>
      </rPr>
      <t>R$ 270.000,00</t>
    </r>
  </si>
  <si>
    <r>
      <t xml:space="preserve">CBu = </t>
    </r>
    <r>
      <rPr>
        <b/>
        <sz val="11"/>
        <color theme="1"/>
        <rFont val="Aptos Narrow"/>
        <family val="2"/>
        <scheme val="minor"/>
      </rPr>
      <t>R$ 172.800,00</t>
    </r>
  </si>
  <si>
    <t>Capital do terreno e o capital de benfeitorias = Capital imovel que produz a renda</t>
  </si>
  <si>
    <t>CI = CT+ CB</t>
  </si>
  <si>
    <t>PASSO 4</t>
  </si>
  <si>
    <t>PASSO 5</t>
  </si>
  <si>
    <t>i</t>
  </si>
  <si>
    <t>Taxa composta a.a</t>
  </si>
  <si>
    <t>PASSO 6</t>
  </si>
  <si>
    <t xml:space="preserve">aplicação do fator de comercialização ao mês </t>
  </si>
  <si>
    <t xml:space="preserve">Aluguel mensal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</si>
</sst>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0" fillId="0" borderId="1" xfId="0" applyBorder="1"/>
    <xf numFmtId="44" fontId="0" fillId="0" borderId="0" xfId="1" applyFont="1"/>
    <xf numFmtId="44" fontId="0" fillId="0" borderId="1" xfId="1" applyFont="1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164" fontId="0" fillId="0" borderId="1" xfId="0" applyNumberFormat="1" applyBorder="1"/>
    <xf numFmtId="0" fontId="0" fillId="0" borderId="0" xfId="0" applyAlignment="1">
      <alignment horizontal="center" vertical="center" wrapText="1"/>
    </xf>
    <xf numFmtId="9" fontId="0" fillId="0" borderId="1" xfId="2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3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164" fontId="1" fillId="2" borderId="14" xfId="0" applyNumberFormat="1" applyFont="1" applyFill="1" applyBorder="1"/>
    <xf numFmtId="0" fontId="0" fillId="5" borderId="6" xfId="0" applyFill="1" applyBorder="1"/>
    <xf numFmtId="0" fontId="0" fillId="5" borderId="8" xfId="0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557892</xdr:colOff>
      <xdr:row>42</xdr:row>
      <xdr:rowOff>1</xdr:rowOff>
    </xdr:from>
    <xdr:to>
      <xdr:col>13</xdr:col>
      <xdr:colOff>119167</xdr:colOff>
      <xdr:row>60</xdr:row>
      <xdr:rowOff>133835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96D0F9-624A-4E38-BB79-2793CA99B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4856" y="7511144"/>
          <a:ext cx="5630061" cy="3467584"/>
        </a:xfrm>
        <a:prstGeom prst="rect">
          <a:avLst/>
        </a:prstGeom>
      </xdr:spPr>
    </xdr:pic>
    <xdr:clientData/>
  </xdr:twoCellAnchor>
  <xdr:twoCellAnchor editAs="oneCell">
    <xdr:from>
      <xdr:col>4</xdr:col>
      <xdr:colOff>326571</xdr:colOff>
      <xdr:row>59</xdr:row>
      <xdr:rowOff>54428</xdr:rowOff>
    </xdr:from>
    <xdr:to>
      <xdr:col>6</xdr:col>
      <xdr:colOff>362320</xdr:colOff>
      <xdr:row>62</xdr:row>
      <xdr:rowOff>138881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2823A2-193D-41AD-A5DA-11BA543F6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0" y="10708821"/>
          <a:ext cx="2648320" cy="628738"/>
        </a:xfrm>
        <a:prstGeom prst="rect">
          <a:avLst/>
        </a:prstGeom>
      </xdr:spPr>
    </xdr:pic>
    <xdr:clientData/>
  </xdr:twoCellAnchor>
  <xdr:twoCellAnchor editAs="oneCell">
    <xdr:from>
      <xdr:col>4</xdr:col>
      <xdr:colOff>408214</xdr:colOff>
      <xdr:row>62</xdr:row>
      <xdr:rowOff>176893</xdr:rowOff>
    </xdr:from>
    <xdr:to>
      <xdr:col>6</xdr:col>
      <xdr:colOff>529700</xdr:colOff>
      <xdr:row>66</xdr:row>
      <xdr:rowOff>162027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232752F-ED59-4224-95BB-251744401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58893" y="11375572"/>
          <a:ext cx="2734057" cy="733527"/>
        </a:xfrm>
        <a:prstGeom prst="rect">
          <a:avLst/>
        </a:prstGeom>
      </xdr:spPr>
    </xdr:pic>
    <xdr:clientData/>
  </xdr:twoCellAnchor>
  <xdr:twoCellAnchor editAs="oneCell">
    <xdr:from>
      <xdr:col>4</xdr:col>
      <xdr:colOff>435429</xdr:colOff>
      <xdr:row>67</xdr:row>
      <xdr:rowOff>0</xdr:rowOff>
    </xdr:from>
    <xdr:to>
      <xdr:col>5</xdr:col>
      <xdr:colOff>1034410</xdr:colOff>
      <xdr:row>70</xdr:row>
      <xdr:rowOff>156582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93EBE8D-3218-4671-B070-6336054E7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6108" y="12123964"/>
          <a:ext cx="1905266" cy="71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F52D-E3CB-4C18-A5F9-930693B760E9}">
  <dimension ref="B2:L92"/>
  <sheetViews>
    <sheetView showGridLines="0" tabSelected="1" topLeftCell="A3" zoomScale="55" zoomScaleNormal="55" workbookViewId="0">
      <selection activeCell="D74" sqref="D74"/>
    </sheetView>
  </sheetViews>
  <sheetFormatPr defaultRowHeight="14.25" x14ac:dyDescent="0.2"/>
  <cols>
    <col min="3" max="3" width="43.375" bestFit="1" customWidth="1"/>
    <col min="4" max="4" width="45.75" customWidth="1"/>
    <col min="5" max="6" width="17.125" bestFit="1" customWidth="1"/>
  </cols>
  <sheetData>
    <row r="2" spans="3:10" ht="15" thickBot="1" x14ac:dyDescent="0.25"/>
    <row r="3" spans="3:10" x14ac:dyDescent="0.2">
      <c r="C3" s="9"/>
    </row>
    <row r="4" spans="3:10" ht="15.75" thickBot="1" x14ac:dyDescent="0.3">
      <c r="C4" s="31" t="s">
        <v>0</v>
      </c>
    </row>
    <row r="7" spans="3:10" x14ac:dyDescent="0.2">
      <c r="C7" s="2" t="s">
        <v>3</v>
      </c>
      <c r="D7" s="2">
        <v>400</v>
      </c>
      <c r="E7" s="2" t="s">
        <v>28</v>
      </c>
    </row>
    <row r="8" spans="3:10" x14ac:dyDescent="0.2">
      <c r="C8" s="2" t="s">
        <v>2</v>
      </c>
      <c r="D8" s="29">
        <v>2000</v>
      </c>
      <c r="E8" s="2" t="s">
        <v>29</v>
      </c>
    </row>
    <row r="9" spans="3:10" x14ac:dyDescent="0.2">
      <c r="C9" s="2" t="s">
        <v>1</v>
      </c>
      <c r="D9" s="2">
        <v>1</v>
      </c>
      <c r="E9" s="2"/>
    </row>
    <row r="10" spans="3:10" x14ac:dyDescent="0.2">
      <c r="C10" s="2" t="s">
        <v>4</v>
      </c>
      <c r="D10" s="2">
        <v>0.5</v>
      </c>
      <c r="E10" s="2"/>
    </row>
    <row r="11" spans="3:10" x14ac:dyDescent="0.2">
      <c r="C11" s="2" t="s">
        <v>5</v>
      </c>
      <c r="D11" s="30">
        <v>0.12569444444444444</v>
      </c>
      <c r="E11" s="2" t="s">
        <v>9</v>
      </c>
    </row>
    <row r="12" spans="3:10" x14ac:dyDescent="0.2">
      <c r="C12" s="2" t="s">
        <v>7</v>
      </c>
      <c r="D12" s="2">
        <v>0.08</v>
      </c>
      <c r="E12" s="2" t="s">
        <v>6</v>
      </c>
    </row>
    <row r="13" spans="3:10" x14ac:dyDescent="0.2">
      <c r="C13" s="2" t="s">
        <v>8</v>
      </c>
      <c r="D13" s="2">
        <v>3</v>
      </c>
      <c r="E13" s="2"/>
      <c r="J13" t="s">
        <v>11</v>
      </c>
    </row>
    <row r="14" spans="3:10" x14ac:dyDescent="0.2">
      <c r="C14" s="2" t="s">
        <v>10</v>
      </c>
      <c r="D14" s="2">
        <v>90</v>
      </c>
      <c r="E14" s="2"/>
      <c r="J14" t="s">
        <v>12</v>
      </c>
    </row>
    <row r="15" spans="3:10" x14ac:dyDescent="0.2">
      <c r="C15" s="2" t="s">
        <v>7</v>
      </c>
      <c r="D15" s="2">
        <v>0.12</v>
      </c>
      <c r="E15" s="2"/>
      <c r="J15" t="s">
        <v>13</v>
      </c>
    </row>
    <row r="16" spans="3:10" x14ac:dyDescent="0.2">
      <c r="C16" s="2"/>
      <c r="D16" s="2"/>
      <c r="E16" s="2"/>
      <c r="J16" t="s">
        <v>14</v>
      </c>
    </row>
    <row r="19" spans="3:5" ht="15" thickBot="1" x14ac:dyDescent="0.25"/>
    <row r="20" spans="3:5" ht="15.75" thickBot="1" x14ac:dyDescent="0.3">
      <c r="C20" s="32" t="s">
        <v>15</v>
      </c>
      <c r="D20" s="33">
        <f>90*3</f>
        <v>270</v>
      </c>
    </row>
    <row r="24" spans="3:5" x14ac:dyDescent="0.2">
      <c r="C24" s="2" t="s">
        <v>20</v>
      </c>
      <c r="D24" s="2" t="s">
        <v>16</v>
      </c>
      <c r="E24" s="2">
        <f>D10</f>
        <v>0.5</v>
      </c>
    </row>
    <row r="25" spans="3:5" x14ac:dyDescent="0.2">
      <c r="C25" s="2" t="s">
        <v>21</v>
      </c>
      <c r="D25" s="2" t="s">
        <v>17</v>
      </c>
      <c r="E25" s="2">
        <f>D9</f>
        <v>1</v>
      </c>
    </row>
    <row r="26" spans="3:5" x14ac:dyDescent="0.2">
      <c r="C26" s="2" t="s">
        <v>19</v>
      </c>
      <c r="D26" s="2" t="s">
        <v>18</v>
      </c>
      <c r="E26" s="2">
        <v>3</v>
      </c>
    </row>
    <row r="27" spans="3:5" x14ac:dyDescent="0.2">
      <c r="C27" s="2" t="s">
        <v>22</v>
      </c>
      <c r="D27" s="2"/>
      <c r="E27" s="2">
        <v>90</v>
      </c>
    </row>
    <row r="28" spans="3:5" x14ac:dyDescent="0.2">
      <c r="C28" s="2" t="s">
        <v>23</v>
      </c>
      <c r="D28" s="2" t="s">
        <v>24</v>
      </c>
      <c r="E28" s="2">
        <f>D20</f>
        <v>270</v>
      </c>
    </row>
    <row r="29" spans="3:5" x14ac:dyDescent="0.2">
      <c r="C29" s="2" t="s">
        <v>25</v>
      </c>
      <c r="D29" s="2" t="s">
        <v>26</v>
      </c>
      <c r="E29" s="29">
        <f>D8</f>
        <v>2000</v>
      </c>
    </row>
    <row r="30" spans="3:5" ht="15.75" thickBot="1" x14ac:dyDescent="0.3">
      <c r="D30" s="1"/>
    </row>
    <row r="31" spans="3:5" ht="15.75" thickBot="1" x14ac:dyDescent="0.3">
      <c r="C31" s="32" t="s">
        <v>27</v>
      </c>
      <c r="D31" s="34">
        <f>E29*((E28)/((E24*E26)+(E25-E24)))</f>
        <v>270000</v>
      </c>
      <c r="E31" s="1"/>
    </row>
    <row r="34" spans="2:5" ht="15" x14ac:dyDescent="0.25">
      <c r="C34" s="1" t="s">
        <v>30</v>
      </c>
      <c r="D34" s="1"/>
    </row>
    <row r="35" spans="2:5" ht="15" x14ac:dyDescent="0.25">
      <c r="E35" s="1"/>
    </row>
    <row r="36" spans="2:5" x14ac:dyDescent="0.2">
      <c r="C36" t="s">
        <v>31</v>
      </c>
      <c r="D36" t="s">
        <v>32</v>
      </c>
      <c r="E36">
        <v>90</v>
      </c>
    </row>
    <row r="37" spans="2:5" x14ac:dyDescent="0.2">
      <c r="C37" t="s">
        <v>33</v>
      </c>
    </row>
    <row r="38" spans="2:5" x14ac:dyDescent="0.2">
      <c r="C38" t="s">
        <v>35</v>
      </c>
    </row>
    <row r="39" spans="2:5" x14ac:dyDescent="0.2">
      <c r="D39" t="s">
        <v>34</v>
      </c>
      <c r="E39" s="3">
        <f>2000*1.2</f>
        <v>2400</v>
      </c>
    </row>
    <row r="41" spans="2:5" x14ac:dyDescent="0.2">
      <c r="C41" s="2" t="s">
        <v>36</v>
      </c>
      <c r="D41" s="2" t="s">
        <v>40</v>
      </c>
      <c r="E41" s="2">
        <v>15</v>
      </c>
    </row>
    <row r="42" spans="2:5" x14ac:dyDescent="0.2">
      <c r="C42" s="2" t="s">
        <v>37</v>
      </c>
      <c r="D42" s="2" t="s">
        <v>41</v>
      </c>
      <c r="E42" s="2">
        <v>60</v>
      </c>
    </row>
    <row r="43" spans="2:5" x14ac:dyDescent="0.2">
      <c r="C43" s="2" t="s">
        <v>38</v>
      </c>
      <c r="D43" s="2" t="s">
        <v>39</v>
      </c>
      <c r="E43" s="2">
        <v>0.2</v>
      </c>
    </row>
    <row r="44" spans="2:5" ht="15" thickBot="1" x14ac:dyDescent="0.25"/>
    <row r="45" spans="2:5" x14ac:dyDescent="0.2">
      <c r="B45" s="15" t="s">
        <v>46</v>
      </c>
      <c r="C45" s="22" t="s">
        <v>42</v>
      </c>
      <c r="D45" s="23"/>
    </row>
    <row r="46" spans="2:5" ht="15" thickBot="1" x14ac:dyDescent="0.25">
      <c r="B46" s="16"/>
      <c r="C46" s="5" t="s">
        <v>43</v>
      </c>
      <c r="D46" s="2">
        <f>E43+(1-E43)*(1-(E41/E42))</f>
        <v>0.8</v>
      </c>
    </row>
    <row r="47" spans="2:5" ht="15" thickBot="1" x14ac:dyDescent="0.25"/>
    <row r="48" spans="2:5" x14ac:dyDescent="0.2">
      <c r="B48" s="15" t="s">
        <v>47</v>
      </c>
      <c r="C48" s="22" t="s">
        <v>44</v>
      </c>
      <c r="D48" s="23"/>
    </row>
    <row r="49" spans="2:4" ht="15" thickBot="1" x14ac:dyDescent="0.25">
      <c r="B49" s="16"/>
      <c r="C49" s="5" t="s">
        <v>45</v>
      </c>
      <c r="D49" s="4">
        <f>E39*D46</f>
        <v>1920</v>
      </c>
    </row>
    <row r="50" spans="2:4" ht="15" thickBot="1" x14ac:dyDescent="0.25"/>
    <row r="51" spans="2:4" x14ac:dyDescent="0.2">
      <c r="B51" s="15" t="s">
        <v>50</v>
      </c>
      <c r="C51" s="27" t="s">
        <v>48</v>
      </c>
      <c r="D51" s="24"/>
    </row>
    <row r="52" spans="2:4" ht="15" thickBot="1" x14ac:dyDescent="0.25">
      <c r="B52" s="16"/>
      <c r="C52" s="8" t="s">
        <v>49</v>
      </c>
      <c r="D52" s="7">
        <f>D14*D49</f>
        <v>172800</v>
      </c>
    </row>
    <row r="54" spans="2:4" ht="15" thickBot="1" x14ac:dyDescent="0.25"/>
    <row r="55" spans="2:4" ht="15" x14ac:dyDescent="0.25">
      <c r="C55" s="35" t="s">
        <v>51</v>
      </c>
    </row>
    <row r="56" spans="2:4" x14ac:dyDescent="0.2">
      <c r="C56" s="11"/>
    </row>
    <row r="57" spans="2:4" ht="15.75" thickBot="1" x14ac:dyDescent="0.3">
      <c r="C57" s="36" t="s">
        <v>52</v>
      </c>
    </row>
    <row r="60" spans="2:4" ht="15" thickBot="1" x14ac:dyDescent="0.25"/>
    <row r="61" spans="2:4" x14ac:dyDescent="0.2">
      <c r="B61" s="15" t="s">
        <v>55</v>
      </c>
      <c r="C61" s="24" t="s">
        <v>53</v>
      </c>
      <c r="D61" s="25"/>
    </row>
    <row r="62" spans="2:4" x14ac:dyDescent="0.2">
      <c r="B62" s="17"/>
      <c r="C62" s="5" t="s">
        <v>54</v>
      </c>
      <c r="D62" s="12">
        <f>D31+D52</f>
        <v>442800</v>
      </c>
    </row>
    <row r="63" spans="2:4" ht="15" thickBot="1" x14ac:dyDescent="0.25">
      <c r="B63" s="10"/>
      <c r="C63" s="5" t="s">
        <v>60</v>
      </c>
      <c r="D63" s="12">
        <f>D62*1.1</f>
        <v>487080.00000000006</v>
      </c>
    </row>
    <row r="64" spans="2:4" ht="15" thickBot="1" x14ac:dyDescent="0.25"/>
    <row r="65" spans="2:12" x14ac:dyDescent="0.2">
      <c r="B65" s="18" t="s">
        <v>56</v>
      </c>
      <c r="C65" s="26" t="s">
        <v>58</v>
      </c>
      <c r="D65" s="24"/>
    </row>
    <row r="66" spans="2:12" ht="15" thickBot="1" x14ac:dyDescent="0.25">
      <c r="B66" s="19"/>
      <c r="C66" s="6" t="s">
        <v>57</v>
      </c>
      <c r="D66" s="14">
        <f>((D31*D12)+(D52*D15))/(D31+D52)</f>
        <v>9.5609756097560977E-2</v>
      </c>
      <c r="G66" s="13"/>
      <c r="H66" s="13"/>
      <c r="I66" s="13"/>
      <c r="J66" s="13"/>
      <c r="K66" s="13"/>
      <c r="L66" s="13"/>
    </row>
    <row r="67" spans="2:12" x14ac:dyDescent="0.2">
      <c r="G67" s="13"/>
      <c r="H67" s="13"/>
      <c r="I67" s="13"/>
      <c r="J67" s="13"/>
      <c r="K67" s="13"/>
      <c r="L67" s="13"/>
    </row>
    <row r="68" spans="2:12" ht="15" thickBot="1" x14ac:dyDescent="0.25">
      <c r="G68" s="13"/>
      <c r="H68" s="13"/>
      <c r="I68" s="13"/>
      <c r="J68" s="13"/>
      <c r="K68" s="13"/>
      <c r="L68" s="13"/>
    </row>
    <row r="69" spans="2:12" x14ac:dyDescent="0.2">
      <c r="B69" s="20" t="s">
        <v>59</v>
      </c>
      <c r="C69" s="23" t="s">
        <v>61</v>
      </c>
      <c r="D69" s="23"/>
      <c r="G69" s="13"/>
      <c r="H69" s="13"/>
      <c r="I69" s="13"/>
      <c r="J69" s="13"/>
      <c r="K69" s="13"/>
      <c r="L69" s="13"/>
    </row>
    <row r="70" spans="2:12" ht="15" thickBot="1" x14ac:dyDescent="0.25">
      <c r="B70" s="21"/>
      <c r="C70" s="28">
        <f xml:space="preserve"> (D63*0.1)/(12)</f>
        <v>4059.0000000000005</v>
      </c>
      <c r="D70" s="28"/>
      <c r="G70" s="13"/>
      <c r="H70" s="13"/>
      <c r="I70" s="13"/>
      <c r="J70" s="13"/>
      <c r="K70" s="13"/>
      <c r="L70" s="13"/>
    </row>
    <row r="71" spans="2:12" x14ac:dyDescent="0.2">
      <c r="G71" s="13"/>
      <c r="H71" s="13"/>
      <c r="I71" s="13"/>
      <c r="J71" s="13"/>
      <c r="K71" s="13"/>
      <c r="L71" s="13"/>
    </row>
    <row r="72" spans="2:12" x14ac:dyDescent="0.2">
      <c r="G72" s="13"/>
      <c r="H72" s="13"/>
      <c r="I72" s="13"/>
      <c r="J72" s="13"/>
      <c r="K72" s="13"/>
      <c r="L72" s="13"/>
    </row>
    <row r="73" spans="2:12" x14ac:dyDescent="0.2">
      <c r="G73" s="13"/>
      <c r="H73" s="13"/>
      <c r="I73" s="13"/>
      <c r="J73" s="13"/>
      <c r="K73" s="13"/>
      <c r="L73" s="13"/>
    </row>
    <row r="74" spans="2:12" x14ac:dyDescent="0.2">
      <c r="G74" s="13"/>
      <c r="H74" s="13"/>
      <c r="I74" s="13"/>
      <c r="J74" s="13"/>
      <c r="K74" s="13"/>
      <c r="L74" s="13"/>
    </row>
    <row r="75" spans="2:12" x14ac:dyDescent="0.2">
      <c r="G75" s="13"/>
      <c r="H75" s="13"/>
      <c r="I75" s="13"/>
      <c r="J75" s="13"/>
      <c r="K75" s="13"/>
      <c r="L75" s="13"/>
    </row>
    <row r="76" spans="2:12" x14ac:dyDescent="0.2">
      <c r="G76" s="13"/>
      <c r="H76" s="13"/>
      <c r="I76" s="13"/>
      <c r="J76" s="13"/>
      <c r="K76" s="13"/>
      <c r="L76" s="13"/>
    </row>
    <row r="77" spans="2:12" x14ac:dyDescent="0.2">
      <c r="G77" s="13"/>
      <c r="H77" s="13"/>
      <c r="I77" s="13"/>
      <c r="J77" s="13"/>
      <c r="K77" s="13"/>
      <c r="L77" s="13"/>
    </row>
    <row r="78" spans="2:12" x14ac:dyDescent="0.2">
      <c r="G78" s="13"/>
      <c r="H78" s="13"/>
      <c r="I78" s="13"/>
      <c r="J78" s="13"/>
      <c r="K78" s="13"/>
      <c r="L78" s="13"/>
    </row>
    <row r="79" spans="2:12" x14ac:dyDescent="0.2">
      <c r="G79" s="13"/>
      <c r="H79" s="13"/>
      <c r="I79" s="13"/>
      <c r="J79" s="13"/>
      <c r="K79" s="13"/>
      <c r="L79" s="13"/>
    </row>
    <row r="80" spans="2:12" x14ac:dyDescent="0.2">
      <c r="G80" s="13"/>
      <c r="H80" s="13"/>
      <c r="I80" s="13"/>
      <c r="J80" s="13"/>
      <c r="K80" s="13"/>
      <c r="L80" s="13"/>
    </row>
    <row r="81" spans="7:12" x14ac:dyDescent="0.2">
      <c r="G81" s="13"/>
      <c r="H81" s="13"/>
      <c r="I81" s="13"/>
      <c r="J81" s="13"/>
      <c r="K81" s="13"/>
      <c r="L81" s="13"/>
    </row>
    <row r="82" spans="7:12" x14ac:dyDescent="0.2">
      <c r="G82" s="13"/>
      <c r="H82" s="13"/>
      <c r="I82" s="13"/>
      <c r="J82" s="13"/>
      <c r="K82" s="13"/>
      <c r="L82" s="13"/>
    </row>
    <row r="83" spans="7:12" x14ac:dyDescent="0.2">
      <c r="G83" s="13"/>
      <c r="H83" s="13"/>
      <c r="I83" s="13"/>
      <c r="J83" s="13"/>
      <c r="K83" s="13"/>
      <c r="L83" s="13"/>
    </row>
    <row r="84" spans="7:12" x14ac:dyDescent="0.2">
      <c r="G84" s="13"/>
      <c r="H84" s="13"/>
      <c r="I84" s="13"/>
      <c r="J84" s="13"/>
      <c r="K84" s="13"/>
      <c r="L84" s="13"/>
    </row>
    <row r="85" spans="7:12" x14ac:dyDescent="0.2">
      <c r="G85" s="13"/>
      <c r="H85" s="13"/>
      <c r="I85" s="13"/>
      <c r="J85" s="13"/>
      <c r="K85" s="13"/>
      <c r="L85" s="13"/>
    </row>
    <row r="86" spans="7:12" x14ac:dyDescent="0.2">
      <c r="G86" s="13"/>
      <c r="H86" s="13"/>
      <c r="I86" s="13"/>
      <c r="J86" s="13"/>
      <c r="K86" s="13"/>
      <c r="L86" s="13"/>
    </row>
    <row r="87" spans="7:12" x14ac:dyDescent="0.2">
      <c r="G87" s="13"/>
      <c r="H87" s="13"/>
      <c r="I87" s="13"/>
      <c r="J87" s="13"/>
      <c r="K87" s="13"/>
      <c r="L87" s="13"/>
    </row>
    <row r="88" spans="7:12" x14ac:dyDescent="0.2">
      <c r="G88" s="13"/>
      <c r="H88" s="13"/>
      <c r="I88" s="13"/>
      <c r="J88" s="13"/>
      <c r="K88" s="13"/>
      <c r="L88" s="13"/>
    </row>
    <row r="89" spans="7:12" x14ac:dyDescent="0.2">
      <c r="G89" s="13"/>
      <c r="H89" s="13"/>
      <c r="I89" s="13"/>
      <c r="J89" s="13"/>
      <c r="K89" s="13"/>
      <c r="L89" s="13"/>
    </row>
    <row r="90" spans="7:12" x14ac:dyDescent="0.2">
      <c r="G90" s="13"/>
      <c r="H90" s="13"/>
      <c r="I90" s="13"/>
      <c r="J90" s="13"/>
      <c r="K90" s="13"/>
      <c r="L90" s="13"/>
    </row>
    <row r="91" spans="7:12" x14ac:dyDescent="0.2">
      <c r="G91" s="13"/>
      <c r="H91" s="13"/>
      <c r="I91" s="13"/>
      <c r="J91" s="13"/>
      <c r="K91" s="13"/>
      <c r="L91" s="13"/>
    </row>
    <row r="92" spans="7:12" x14ac:dyDescent="0.2">
      <c r="G92" s="13"/>
      <c r="H92" s="13"/>
      <c r="I92" s="13"/>
      <c r="J92" s="13"/>
      <c r="K92" s="13"/>
      <c r="L92" s="13"/>
    </row>
  </sheetData>
  <mergeCells count="14">
    <mergeCell ref="B65:B66"/>
    <mergeCell ref="G66:L92"/>
    <mergeCell ref="C65:D65"/>
    <mergeCell ref="B69:B70"/>
    <mergeCell ref="C70:D70"/>
    <mergeCell ref="C69:D69"/>
    <mergeCell ref="C45:D45"/>
    <mergeCell ref="C48:D48"/>
    <mergeCell ref="B45:B46"/>
    <mergeCell ref="B48:B49"/>
    <mergeCell ref="B51:B52"/>
    <mergeCell ref="C61:D61"/>
    <mergeCell ref="B61:B62"/>
    <mergeCell ref="C51:D5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Nascimento</dc:creator>
  <cp:lastModifiedBy>Home</cp:lastModifiedBy>
  <dcterms:created xsi:type="dcterms:W3CDTF">2026-01-18T11:51:31Z</dcterms:created>
  <dcterms:modified xsi:type="dcterms:W3CDTF">2026-01-18T13:54:21Z</dcterms:modified>
</cp:coreProperties>
</file>