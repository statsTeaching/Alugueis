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fpdr\Google Drive\_CURSOS\_PROPRIOS\Alugueis_INBEC\refs\"/>
    </mc:Choice>
  </mc:AlternateContent>
  <xr:revisionPtr revIDLastSave="0" documentId="13_ncr:1_{BE67AC79-2D89-4DBB-A982-4F1954121674}" xr6:coauthVersionLast="47" xr6:coauthVersionMax="47" xr10:uidLastSave="{00000000-0000-0000-0000-000000000000}"/>
  <bookViews>
    <workbookView xWindow="28680" yWindow="-120" windowWidth="22740" windowHeight="13020" xr2:uid="{FE62F27F-4940-4E5C-A6E3-A127CC4429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1" l="1"/>
  <c r="R17" i="1"/>
  <c r="R16" i="1"/>
  <c r="Q5" i="1"/>
  <c r="E17" i="1"/>
  <c r="E16" i="1"/>
  <c r="F6" i="1"/>
  <c r="F7" i="1"/>
  <c r="F8" i="1"/>
  <c r="F9" i="1"/>
  <c r="F10" i="1"/>
  <c r="F11" i="1"/>
  <c r="F5" i="1"/>
  <c r="E15" i="1"/>
  <c r="S15" i="1"/>
  <c r="R15" i="1"/>
  <c r="S14" i="1"/>
  <c r="R14" i="1"/>
  <c r="R13" i="1"/>
  <c r="S11" i="1"/>
  <c r="S5" i="1"/>
  <c r="R6" i="1"/>
  <c r="S6" i="1" s="1"/>
  <c r="S13" i="1" s="1"/>
  <c r="R7" i="1"/>
  <c r="S7" i="1" s="1"/>
  <c r="R8" i="1"/>
  <c r="S8" i="1" s="1"/>
  <c r="R9" i="1"/>
  <c r="S9" i="1" s="1"/>
  <c r="R10" i="1"/>
  <c r="R11" i="1"/>
  <c r="R5" i="1"/>
  <c r="Q6" i="1"/>
  <c r="Q7" i="1"/>
  <c r="Q8" i="1"/>
  <c r="Q9" i="1"/>
  <c r="Q10" i="1"/>
  <c r="Q11" i="1"/>
  <c r="P6" i="1"/>
  <c r="P7" i="1"/>
  <c r="P8" i="1"/>
  <c r="P9" i="1"/>
  <c r="P10" i="1"/>
  <c r="P11" i="1"/>
  <c r="P5" i="1"/>
  <c r="O13" i="1"/>
  <c r="O6" i="1"/>
  <c r="O7" i="1"/>
  <c r="O8" i="1"/>
  <c r="O9" i="1"/>
  <c r="O10" i="1"/>
  <c r="O11" i="1"/>
  <c r="O5" i="1"/>
  <c r="M6" i="1"/>
  <c r="M7" i="1"/>
  <c r="M8" i="1"/>
  <c r="M9" i="1"/>
  <c r="M10" i="1"/>
  <c r="M11" i="1"/>
  <c r="M5" i="1"/>
  <c r="J6" i="1"/>
  <c r="J7" i="1"/>
  <c r="J8" i="1"/>
  <c r="J9" i="1"/>
  <c r="J10" i="1"/>
  <c r="J11" i="1"/>
  <c r="J5" i="1"/>
  <c r="I6" i="1"/>
  <c r="I7" i="1"/>
  <c r="I8" i="1"/>
  <c r="I9" i="1"/>
  <c r="I10" i="1"/>
  <c r="I11" i="1"/>
  <c r="I13" i="1"/>
  <c r="I5" i="1"/>
  <c r="G6" i="1"/>
  <c r="G7" i="1"/>
  <c r="G8" i="1"/>
  <c r="G9" i="1"/>
  <c r="G10" i="1"/>
  <c r="G11" i="1"/>
  <c r="G5" i="1"/>
  <c r="E6" i="1"/>
  <c r="E7" i="1"/>
  <c r="E8" i="1"/>
  <c r="E9" i="1"/>
  <c r="E10" i="1"/>
  <c r="E11" i="1"/>
  <c r="E5" i="1"/>
</calcChain>
</file>

<file path=xl/sharedStrings.xml><?xml version="1.0" encoding="utf-8"?>
<sst xmlns="http://schemas.openxmlformats.org/spreadsheetml/2006/main" count="44" uniqueCount="33">
  <si>
    <t>Elemento</t>
  </si>
  <si>
    <t>Aluguel</t>
  </si>
  <si>
    <t>Nº</t>
  </si>
  <si>
    <t>R$/mês</t>
  </si>
  <si>
    <t>Área útil</t>
  </si>
  <si>
    <t>m2</t>
  </si>
  <si>
    <t>Unitário</t>
  </si>
  <si>
    <t>Fator Oferta</t>
  </si>
  <si>
    <t>Validação</t>
  </si>
  <si>
    <t>Fator Área</t>
  </si>
  <si>
    <t>Aval</t>
  </si>
  <si>
    <t>?</t>
  </si>
  <si>
    <t>Condomínio</t>
  </si>
  <si>
    <t>R$</t>
  </si>
  <si>
    <t>R$/m2</t>
  </si>
  <si>
    <t>Fator Condo</t>
  </si>
  <si>
    <t>Padrão</t>
  </si>
  <si>
    <t>Médio +</t>
  </si>
  <si>
    <t>Médio</t>
  </si>
  <si>
    <t>Médio -</t>
  </si>
  <si>
    <t>IBAPE/SP</t>
  </si>
  <si>
    <t>Fator Pad</t>
  </si>
  <si>
    <t>Idade</t>
  </si>
  <si>
    <t>Depr.</t>
  </si>
  <si>
    <t>R</t>
  </si>
  <si>
    <t>Fator Idade</t>
  </si>
  <si>
    <t>S</t>
  </si>
  <si>
    <t>VUHom</t>
  </si>
  <si>
    <t>Saneado</t>
  </si>
  <si>
    <t>Média</t>
  </si>
  <si>
    <t>Desvio</t>
  </si>
  <si>
    <t>CV</t>
  </si>
  <si>
    <t>Valor Locatício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</si>
</sst>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Symbol"/>
      <family val="1"/>
      <charset val="2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">
    <xf numFmtId="0" fontId="0" fillId="0" borderId="0" xfId="0"/>
    <xf numFmtId="2" fontId="0" fillId="0" borderId="0" xfId="0" applyNumberFormat="1"/>
    <xf numFmtId="10" fontId="0" fillId="0" borderId="0" xfId="0" applyNumberFormat="1"/>
    <xf numFmtId="0" fontId="2" fillId="0" borderId="0" xfId="0" applyFont="1"/>
    <xf numFmtId="164" fontId="0" fillId="0" borderId="0" xfId="1" applyNumberFormat="1" applyFont="1"/>
    <xf numFmtId="9" fontId="0" fillId="0" borderId="0" xfId="0" applyNumberFormat="1"/>
    <xf numFmtId="2" fontId="3" fillId="0" borderId="0" xfId="0" applyNumberFormat="1" applyFont="1"/>
    <xf numFmtId="0" fontId="3" fillId="0" borderId="0" xfId="0" applyFont="1"/>
    <xf numFmtId="44" fontId="3" fillId="0" borderId="0" xfId="2" applyFont="1"/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8BBCA-A522-4474-8D5E-CFAB8322C156}">
  <dimension ref="B1:S17"/>
  <sheetViews>
    <sheetView tabSelected="1" zoomScale="160" zoomScaleNormal="160" workbookViewId="0">
      <selection activeCell="B5" sqref="B5:B11"/>
    </sheetView>
  </sheetViews>
  <sheetFormatPr defaultRowHeight="14.4" x14ac:dyDescent="0.3"/>
  <cols>
    <col min="1" max="1" width="3" customWidth="1"/>
    <col min="4" max="4" width="10.6640625" bestFit="1" customWidth="1"/>
    <col min="7" max="7" width="12.88671875" bestFit="1" customWidth="1"/>
    <col min="8" max="8" width="11.88671875" bestFit="1" customWidth="1"/>
    <col min="9" max="9" width="10.6640625" bestFit="1" customWidth="1"/>
    <col min="10" max="10" width="10.77734375" bestFit="1" customWidth="1"/>
    <col min="16" max="16" width="10" bestFit="1" customWidth="1"/>
  </cols>
  <sheetData>
    <row r="1" spans="2:19" x14ac:dyDescent="0.3">
      <c r="D1" t="s">
        <v>7</v>
      </c>
      <c r="E1">
        <v>0.9</v>
      </c>
      <c r="O1" t="s">
        <v>24</v>
      </c>
    </row>
    <row r="2" spans="2:19" x14ac:dyDescent="0.3">
      <c r="O2" s="2">
        <v>2.5000000000000001E-2</v>
      </c>
    </row>
    <row r="3" spans="2:19" x14ac:dyDescent="0.3">
      <c r="B3" t="s">
        <v>0</v>
      </c>
      <c r="C3" t="s">
        <v>1</v>
      </c>
      <c r="D3" t="s">
        <v>4</v>
      </c>
      <c r="E3" t="s">
        <v>6</v>
      </c>
      <c r="F3" t="s">
        <v>8</v>
      </c>
      <c r="G3" t="s">
        <v>9</v>
      </c>
      <c r="H3" t="s">
        <v>12</v>
      </c>
      <c r="I3" t="s">
        <v>12</v>
      </c>
      <c r="J3" t="s">
        <v>15</v>
      </c>
      <c r="K3" t="s">
        <v>16</v>
      </c>
      <c r="L3" t="s">
        <v>20</v>
      </c>
      <c r="M3" t="s">
        <v>21</v>
      </c>
      <c r="N3" t="s">
        <v>22</v>
      </c>
      <c r="O3" t="s">
        <v>23</v>
      </c>
      <c r="P3" t="s">
        <v>25</v>
      </c>
      <c r="Q3" s="3" t="s">
        <v>26</v>
      </c>
      <c r="R3" t="s">
        <v>27</v>
      </c>
      <c r="S3" t="s">
        <v>27</v>
      </c>
    </row>
    <row r="4" spans="2:19" x14ac:dyDescent="0.3">
      <c r="B4" t="s">
        <v>2</v>
      </c>
      <c r="C4" t="s">
        <v>3</v>
      </c>
      <c r="D4" t="s">
        <v>5</v>
      </c>
      <c r="E4" t="s">
        <v>5</v>
      </c>
      <c r="H4" t="s">
        <v>13</v>
      </c>
      <c r="I4" t="s">
        <v>14</v>
      </c>
      <c r="S4" t="s">
        <v>28</v>
      </c>
    </row>
    <row r="5" spans="2:19" x14ac:dyDescent="0.3">
      <c r="B5">
        <v>1</v>
      </c>
      <c r="C5">
        <v>2755</v>
      </c>
      <c r="D5">
        <v>90</v>
      </c>
      <c r="E5" s="1">
        <f>$E$1*C5/D5</f>
        <v>27.55</v>
      </c>
      <c r="F5" s="1">
        <f>$E$15/E5</f>
        <v>0.73310400889352023</v>
      </c>
      <c r="G5" s="1">
        <f>$D$13/D5</f>
        <v>1.0409999999999999</v>
      </c>
      <c r="H5">
        <v>285</v>
      </c>
      <c r="I5" s="1">
        <f>H5/D5</f>
        <v>3.1666666666666665</v>
      </c>
      <c r="J5" s="1">
        <f>$I$13/I5</f>
        <v>0.84264455567352581</v>
      </c>
      <c r="K5" t="s">
        <v>17</v>
      </c>
      <c r="L5">
        <v>2.16</v>
      </c>
      <c r="M5" s="1">
        <f>$L$13/L5</f>
        <v>0.89166666666666661</v>
      </c>
      <c r="N5">
        <v>25</v>
      </c>
      <c r="O5" s="1">
        <f>(1-$O$2)^N5</f>
        <v>0.53102551948180121</v>
      </c>
      <c r="P5" s="1">
        <f>$O$13/O5</f>
        <v>1</v>
      </c>
      <c r="Q5" s="1">
        <f>G5+J5+M5+P5-4+1</f>
        <v>0.77531122234019234</v>
      </c>
      <c r="R5" s="1">
        <f>E5*Q5</f>
        <v>21.359824175472301</v>
      </c>
      <c r="S5" s="1">
        <f>R5</f>
        <v>21.359824175472301</v>
      </c>
    </row>
    <row r="6" spans="2:19" x14ac:dyDescent="0.3">
      <c r="B6">
        <v>2</v>
      </c>
      <c r="C6">
        <v>2310</v>
      </c>
      <c r="D6">
        <v>87</v>
      </c>
      <c r="E6" s="1">
        <f t="shared" ref="E6:E11" si="0">$E$1*C6/D6</f>
        <v>23.896551724137932</v>
      </c>
      <c r="F6" s="1">
        <f t="shared" ref="F6:F11" si="1">$E$15/E6</f>
        <v>0.84518535051295518</v>
      </c>
      <c r="G6" s="1">
        <f t="shared" ref="G6:G11" si="2">$D$13/D6</f>
        <v>1.076896551724138</v>
      </c>
      <c r="H6">
        <v>285</v>
      </c>
      <c r="I6" s="1">
        <f t="shared" ref="I6:I13" si="3">H6/D6</f>
        <v>3.2758620689655173</v>
      </c>
      <c r="J6" s="1">
        <f t="shared" ref="J6:J11" si="4">$I$13/I6</f>
        <v>0.81455640381774164</v>
      </c>
      <c r="K6" t="s">
        <v>18</v>
      </c>
      <c r="L6">
        <v>1.9259999999999999</v>
      </c>
      <c r="M6" s="1">
        <f t="shared" ref="M6:M11" si="5">$L$13/L6</f>
        <v>1</v>
      </c>
      <c r="N6">
        <v>25</v>
      </c>
      <c r="O6" s="1">
        <f t="shared" ref="O6:O13" si="6">(1-$O$2)^N6</f>
        <v>0.53102551948180121</v>
      </c>
      <c r="P6" s="1">
        <f t="shared" ref="P6:P11" si="7">$O$13/O6</f>
        <v>1</v>
      </c>
      <c r="Q6" s="1">
        <f t="shared" ref="Q6:Q11" si="8">G6+J6+M6+P6-4+1</f>
        <v>0.89145295554187953</v>
      </c>
      <c r="R6" s="1">
        <f t="shared" ref="R6:R11" si="9">E6*Q6</f>
        <v>21.302651661742157</v>
      </c>
      <c r="S6" s="1">
        <f t="shared" ref="S6:S11" si="10">R6</f>
        <v>21.302651661742157</v>
      </c>
    </row>
    <row r="7" spans="2:19" x14ac:dyDescent="0.3">
      <c r="B7">
        <v>3</v>
      </c>
      <c r="C7">
        <v>2215</v>
      </c>
      <c r="D7">
        <v>90</v>
      </c>
      <c r="E7" s="1">
        <f t="shared" si="0"/>
        <v>22.15</v>
      </c>
      <c r="F7" s="1">
        <f t="shared" si="1"/>
        <v>0.91182913972986379</v>
      </c>
      <c r="G7" s="1">
        <f t="shared" si="2"/>
        <v>1.0409999999999999</v>
      </c>
      <c r="H7">
        <v>230</v>
      </c>
      <c r="I7" s="1">
        <f t="shared" si="3"/>
        <v>2.5555555555555554</v>
      </c>
      <c r="J7" s="1">
        <f t="shared" si="4"/>
        <v>1.0441465146389342</v>
      </c>
      <c r="K7" t="s">
        <v>17</v>
      </c>
      <c r="L7">
        <v>2.16</v>
      </c>
      <c r="M7" s="1">
        <f t="shared" si="5"/>
        <v>0.89166666666666661</v>
      </c>
      <c r="N7">
        <v>30</v>
      </c>
      <c r="O7" s="1">
        <f t="shared" si="6"/>
        <v>0.46788429827933986</v>
      </c>
      <c r="P7" s="1">
        <f t="shared" si="7"/>
        <v>1.1349505025807989</v>
      </c>
      <c r="Q7" s="1">
        <f t="shared" si="8"/>
        <v>1.1117636838863998</v>
      </c>
      <c r="R7" s="1">
        <f t="shared" si="9"/>
        <v>24.625565598083753</v>
      </c>
      <c r="S7" s="1">
        <f t="shared" si="10"/>
        <v>24.625565598083753</v>
      </c>
    </row>
    <row r="8" spans="2:19" x14ac:dyDescent="0.3">
      <c r="B8">
        <v>4</v>
      </c>
      <c r="C8">
        <v>1830</v>
      </c>
      <c r="D8">
        <v>95</v>
      </c>
      <c r="E8" s="1">
        <f t="shared" si="0"/>
        <v>17.336842105263159</v>
      </c>
      <c r="F8" s="1">
        <f t="shared" si="1"/>
        <v>1.1649766042966399</v>
      </c>
      <c r="G8" s="1">
        <f t="shared" si="2"/>
        <v>0.98621052631578943</v>
      </c>
      <c r="H8">
        <v>230</v>
      </c>
      <c r="I8" s="1">
        <f t="shared" si="3"/>
        <v>2.4210526315789473</v>
      </c>
      <c r="J8" s="1">
        <f t="shared" si="4"/>
        <v>1.1021546543410972</v>
      </c>
      <c r="K8" t="s">
        <v>19</v>
      </c>
      <c r="L8">
        <v>1.6919999999999999</v>
      </c>
      <c r="M8" s="1">
        <f t="shared" si="5"/>
        <v>1.1382978723404256</v>
      </c>
      <c r="N8">
        <v>30</v>
      </c>
      <c r="O8" s="1">
        <f t="shared" si="6"/>
        <v>0.46788429827933986</v>
      </c>
      <c r="P8" s="1">
        <f t="shared" si="7"/>
        <v>1.1349505025807989</v>
      </c>
      <c r="Q8" s="1">
        <f t="shared" si="8"/>
        <v>1.3616135555781108</v>
      </c>
      <c r="R8" s="1">
        <f t="shared" si="9"/>
        <v>23.606079221443672</v>
      </c>
      <c r="S8" s="1">
        <f t="shared" si="10"/>
        <v>23.606079221443672</v>
      </c>
    </row>
    <row r="9" spans="2:19" x14ac:dyDescent="0.3">
      <c r="B9">
        <v>5</v>
      </c>
      <c r="C9">
        <v>2000</v>
      </c>
      <c r="D9">
        <v>90</v>
      </c>
      <c r="E9" s="1">
        <f t="shared" si="0"/>
        <v>20</v>
      </c>
      <c r="F9" s="1">
        <f t="shared" si="1"/>
        <v>1.0098507722508241</v>
      </c>
      <c r="G9" s="1">
        <f t="shared" si="2"/>
        <v>1.0409999999999999</v>
      </c>
      <c r="H9">
        <v>230</v>
      </c>
      <c r="I9" s="1">
        <f t="shared" si="3"/>
        <v>2.5555555555555554</v>
      </c>
      <c r="J9" s="1">
        <f t="shared" si="4"/>
        <v>1.0441465146389342</v>
      </c>
      <c r="K9" t="s">
        <v>17</v>
      </c>
      <c r="L9">
        <v>2.16</v>
      </c>
      <c r="M9" s="1">
        <f t="shared" si="5"/>
        <v>0.89166666666666661</v>
      </c>
      <c r="N9">
        <v>30</v>
      </c>
      <c r="O9" s="1">
        <f t="shared" si="6"/>
        <v>0.46788429827933986</v>
      </c>
      <c r="P9" s="1">
        <f t="shared" si="7"/>
        <v>1.1349505025807989</v>
      </c>
      <c r="Q9" s="1">
        <f t="shared" si="8"/>
        <v>1.1117636838863998</v>
      </c>
      <c r="R9" s="1">
        <f t="shared" si="9"/>
        <v>22.235273677727996</v>
      </c>
      <c r="S9" s="1">
        <f t="shared" si="10"/>
        <v>22.235273677727996</v>
      </c>
    </row>
    <row r="10" spans="2:19" x14ac:dyDescent="0.3">
      <c r="B10">
        <v>6</v>
      </c>
      <c r="C10">
        <v>1830</v>
      </c>
      <c r="D10">
        <v>105</v>
      </c>
      <c r="E10" s="1">
        <f t="shared" si="0"/>
        <v>15.685714285714285</v>
      </c>
      <c r="F10" s="1">
        <f t="shared" si="1"/>
        <v>1.2876057205383915</v>
      </c>
      <c r="G10" s="1">
        <f t="shared" si="2"/>
        <v>0.89228571428571424</v>
      </c>
      <c r="H10">
        <v>290</v>
      </c>
      <c r="I10" s="1">
        <f t="shared" si="3"/>
        <v>2.7619047619047619</v>
      </c>
      <c r="J10" s="1">
        <f t="shared" si="4"/>
        <v>0.9661355681429219</v>
      </c>
      <c r="K10" t="s">
        <v>18</v>
      </c>
      <c r="L10">
        <v>1.9259999999999999</v>
      </c>
      <c r="M10" s="1">
        <f t="shared" si="5"/>
        <v>1</v>
      </c>
      <c r="N10">
        <v>25</v>
      </c>
      <c r="O10" s="1">
        <f t="shared" si="6"/>
        <v>0.53102551948180121</v>
      </c>
      <c r="P10" s="1">
        <f t="shared" si="7"/>
        <v>1</v>
      </c>
      <c r="Q10" s="1">
        <f t="shared" si="8"/>
        <v>0.85842128242863591</v>
      </c>
      <c r="R10" s="1">
        <f t="shared" si="9"/>
        <v>13.464950972952032</v>
      </c>
      <c r="S10" s="1"/>
    </row>
    <row r="11" spans="2:19" x14ac:dyDescent="0.3">
      <c r="B11">
        <v>7</v>
      </c>
      <c r="C11">
        <v>1640</v>
      </c>
      <c r="D11">
        <v>100</v>
      </c>
      <c r="E11" s="1">
        <f t="shared" si="0"/>
        <v>14.76</v>
      </c>
      <c r="F11" s="1">
        <f t="shared" si="1"/>
        <v>1.3683614800146668</v>
      </c>
      <c r="G11" s="1">
        <f t="shared" si="2"/>
        <v>0.93689999999999996</v>
      </c>
      <c r="H11">
        <v>250</v>
      </c>
      <c r="I11" s="1">
        <f t="shared" si="3"/>
        <v>2.5</v>
      </c>
      <c r="J11" s="1">
        <f t="shared" si="4"/>
        <v>1.0673497705197994</v>
      </c>
      <c r="K11" t="s">
        <v>19</v>
      </c>
      <c r="L11">
        <v>1.6919999999999999</v>
      </c>
      <c r="M11" s="1">
        <f t="shared" si="5"/>
        <v>1.1382978723404256</v>
      </c>
      <c r="N11">
        <v>30</v>
      </c>
      <c r="O11" s="1">
        <f t="shared" si="6"/>
        <v>0.46788429827933986</v>
      </c>
      <c r="P11" s="1">
        <f t="shared" si="7"/>
        <v>1.1349505025807989</v>
      </c>
      <c r="Q11" s="1">
        <f t="shared" si="8"/>
        <v>1.2774981454410241</v>
      </c>
      <c r="R11" s="1">
        <f t="shared" si="9"/>
        <v>18.855872626709516</v>
      </c>
      <c r="S11" s="1">
        <f t="shared" si="10"/>
        <v>18.855872626709516</v>
      </c>
    </row>
    <row r="12" spans="2:19" x14ac:dyDescent="0.3">
      <c r="E12" s="1"/>
      <c r="I12" s="1"/>
      <c r="O12" s="1"/>
      <c r="Q12" s="1"/>
      <c r="R12" s="1"/>
    </row>
    <row r="13" spans="2:19" x14ac:dyDescent="0.3">
      <c r="B13" t="s">
        <v>10</v>
      </c>
      <c r="C13" t="s">
        <v>11</v>
      </c>
      <c r="D13">
        <v>93.69</v>
      </c>
      <c r="H13">
        <v>250</v>
      </c>
      <c r="I13" s="1">
        <f t="shared" si="3"/>
        <v>2.6683744262994984</v>
      </c>
      <c r="K13" t="s">
        <v>18</v>
      </c>
      <c r="L13">
        <v>1.9259999999999999</v>
      </c>
      <c r="N13">
        <v>25</v>
      </c>
      <c r="O13" s="1">
        <f t="shared" si="6"/>
        <v>0.53102551948180121</v>
      </c>
      <c r="Q13" s="1" t="s">
        <v>29</v>
      </c>
      <c r="R13" s="1">
        <f>AVERAGE(R5:R12)</f>
        <v>20.778602562018779</v>
      </c>
      <c r="S13" s="6">
        <f>AVERAGE(S5:S12)</f>
        <v>21.997544493529901</v>
      </c>
    </row>
    <row r="14" spans="2:19" x14ac:dyDescent="0.3">
      <c r="Q14" t="s">
        <v>30</v>
      </c>
      <c r="R14" s="1">
        <f>_xlfn.STDEV.S(R5:R11)</f>
        <v>3.7129160954933647</v>
      </c>
      <c r="S14" s="1">
        <f>_xlfn.STDEV.S(S5:S11)</f>
        <v>2.0154433473758933</v>
      </c>
    </row>
    <row r="15" spans="2:19" x14ac:dyDescent="0.3">
      <c r="D15" s="1" t="s">
        <v>29</v>
      </c>
      <c r="E15" s="1">
        <f>AVERAGE(E5:E11)</f>
        <v>20.197015445016483</v>
      </c>
      <c r="G15" s="7" t="s">
        <v>32</v>
      </c>
      <c r="H15" s="8">
        <f>D13*S13</f>
        <v>2060.9499435988164</v>
      </c>
      <c r="Q15" t="s">
        <v>31</v>
      </c>
      <c r="R15" s="4">
        <f>R14/R13</f>
        <v>0.1786894034096502</v>
      </c>
      <c r="S15" s="4">
        <f>S14/S13</f>
        <v>9.1621287456365511E-2</v>
      </c>
    </row>
    <row r="16" spans="2:19" x14ac:dyDescent="0.3">
      <c r="D16" t="s">
        <v>30</v>
      </c>
      <c r="E16" s="1">
        <f>_xlfn.STDEV.S(E5:E11)</f>
        <v>4.6493634140716162</v>
      </c>
      <c r="Q16" s="5">
        <v>-0.3</v>
      </c>
      <c r="R16" s="1">
        <f>(1-0.3)*R13</f>
        <v>14.545021793413145</v>
      </c>
    </row>
    <row r="17" spans="4:18" x14ac:dyDescent="0.3">
      <c r="D17" t="s">
        <v>31</v>
      </c>
      <c r="E17" s="4">
        <f>E16/E15</f>
        <v>0.23020051783041165</v>
      </c>
      <c r="Q17" s="5">
        <v>0.3</v>
      </c>
      <c r="R17" s="1">
        <f>(1+0.3)*R13</f>
        <v>27.012183330624413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F P Droubi</dc:creator>
  <cp:lastModifiedBy>Luiz F P Droubi</cp:lastModifiedBy>
  <dcterms:created xsi:type="dcterms:W3CDTF">2025-08-12T21:12:17Z</dcterms:created>
  <dcterms:modified xsi:type="dcterms:W3CDTF">2025-08-16T17:50:12Z</dcterms:modified>
</cp:coreProperties>
</file>