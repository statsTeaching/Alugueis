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pdr\Google Drive\_CURSOS\_PROPRIOS\Alugueis_INBEC\refs\"/>
    </mc:Choice>
  </mc:AlternateContent>
  <xr:revisionPtr revIDLastSave="0" documentId="13_ncr:1_{3D59778C-55F2-4C4D-A984-D496A4EEAA02}" xr6:coauthVersionLast="47" xr6:coauthVersionMax="47" xr10:uidLastSave="{00000000-0000-0000-0000-000000000000}"/>
  <bookViews>
    <workbookView xWindow="28680" yWindow="-120" windowWidth="22740" windowHeight="13020" xr2:uid="{8FAA620E-24B8-4548-869E-A8D8BDEBC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G4" i="1"/>
  <c r="H4" i="1" s="1"/>
  <c r="G5" i="1"/>
  <c r="H5" i="1" s="1"/>
  <c r="G6" i="1"/>
  <c r="H6" i="1" s="1"/>
  <c r="G7" i="1"/>
  <c r="G8" i="1"/>
  <c r="H8" i="1" s="1"/>
  <c r="G9" i="1"/>
  <c r="H9" i="1" s="1"/>
  <c r="G3" i="1"/>
  <c r="H3" i="1" s="1"/>
  <c r="H10" i="1" s="1"/>
  <c r="H11" i="1" l="1"/>
  <c r="I5" i="1" s="1"/>
  <c r="I8" i="1" l="1"/>
  <c r="I4" i="1"/>
  <c r="I3" i="1"/>
  <c r="I9" i="1"/>
  <c r="H14" i="1"/>
  <c r="I7" i="1"/>
  <c r="H12" i="1"/>
  <c r="I6" i="1"/>
</calcChain>
</file>

<file path=xl/sharedStrings.xml><?xml version="1.0" encoding="utf-8"?>
<sst xmlns="http://schemas.openxmlformats.org/spreadsheetml/2006/main" count="22" uniqueCount="19">
  <si>
    <t>Id</t>
  </si>
  <si>
    <t>Vacância</t>
  </si>
  <si>
    <t>Aval</t>
  </si>
  <si>
    <t>?</t>
  </si>
  <si>
    <t>VM</t>
  </si>
  <si>
    <t>Média</t>
  </si>
  <si>
    <t>CV</t>
  </si>
  <si>
    <t>Desvios/SD</t>
  </si>
  <si>
    <t>SD</t>
  </si>
  <si>
    <t>(m2)</t>
  </si>
  <si>
    <t>Área</t>
  </si>
  <si>
    <t>(R$/mês)</t>
  </si>
  <si>
    <t>Aluguel</t>
  </si>
  <si>
    <t>(R$)</t>
  </si>
  <si>
    <t xml:space="preserve">Preço Venda </t>
  </si>
  <si>
    <t>(%)</t>
  </si>
  <si>
    <t xml:space="preserve">Despesas </t>
  </si>
  <si>
    <t xml:space="preserve">Renda Líquida </t>
  </si>
  <si>
    <t xml:space="preserve">Rentabilidade Líquida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</si>
</sst>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10" fontId="2" fillId="0" borderId="0" xfId="1" applyNumberFormat="1" applyFont="1"/>
    <xf numFmtId="10" fontId="2" fillId="0" borderId="0" xfId="0" applyNumberFormat="1" applyFont="1"/>
    <xf numFmtId="4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93D1-0956-445C-80B8-5943DFEAB85B}">
  <dimension ref="A1:N18"/>
  <sheetViews>
    <sheetView tabSelected="1" zoomScale="175" zoomScaleNormal="175" workbookViewId="0">
      <selection activeCell="H14" sqref="H14"/>
    </sheetView>
  </sheetViews>
  <sheetFormatPr defaultRowHeight="14.4" x14ac:dyDescent="0.3"/>
  <cols>
    <col min="2" max="2" width="5.33203125" customWidth="1"/>
    <col min="4" max="4" width="11.109375" customWidth="1"/>
    <col min="6" max="6" width="10" customWidth="1"/>
    <col min="7" max="7" width="7.21875" bestFit="1" customWidth="1"/>
    <col min="8" max="8" width="14.77734375" customWidth="1"/>
    <col min="9" max="9" width="10.5546875" customWidth="1"/>
  </cols>
  <sheetData>
    <row r="1" spans="1:9" s="1" customFormat="1" ht="28.8" x14ac:dyDescent="0.3">
      <c r="A1" s="12" t="s">
        <v>0</v>
      </c>
      <c r="B1" s="12" t="s">
        <v>10</v>
      </c>
      <c r="C1" s="12" t="s">
        <v>12</v>
      </c>
      <c r="D1" s="12" t="s">
        <v>14</v>
      </c>
      <c r="E1" s="12" t="s">
        <v>1</v>
      </c>
      <c r="F1" s="12" t="s">
        <v>16</v>
      </c>
      <c r="G1" s="12" t="s">
        <v>17</v>
      </c>
      <c r="H1" s="12" t="s">
        <v>18</v>
      </c>
      <c r="I1" s="14" t="s">
        <v>7</v>
      </c>
    </row>
    <row r="2" spans="1:9" s="13" customFormat="1" x14ac:dyDescent="0.3">
      <c r="B2" s="13" t="s">
        <v>9</v>
      </c>
      <c r="C2" s="13" t="s">
        <v>11</v>
      </c>
      <c r="D2" s="13" t="s">
        <v>13</v>
      </c>
      <c r="E2" s="13" t="s">
        <v>15</v>
      </c>
      <c r="F2" s="13" t="s">
        <v>13</v>
      </c>
      <c r="G2" s="13" t="s">
        <v>13</v>
      </c>
      <c r="H2" s="13" t="s">
        <v>15</v>
      </c>
      <c r="I2" s="14"/>
    </row>
    <row r="3" spans="1:9" x14ac:dyDescent="0.3">
      <c r="A3">
        <v>1</v>
      </c>
      <c r="B3">
        <v>115</v>
      </c>
      <c r="C3" s="3">
        <v>580</v>
      </c>
      <c r="D3" s="3">
        <v>70000</v>
      </c>
      <c r="E3" s="2">
        <v>7.0000000000000007E-2</v>
      </c>
      <c r="F3" s="3">
        <v>110</v>
      </c>
      <c r="G3" s="3">
        <f>(1-E3)*C3-F3</f>
        <v>429.4</v>
      </c>
      <c r="H3" s="4">
        <f>G3/D3</f>
        <v>6.1342857142857136E-3</v>
      </c>
      <c r="I3" s="6">
        <f>(H3-$H$10)/$H$11</f>
        <v>0.7905500165668079</v>
      </c>
    </row>
    <row r="4" spans="1:9" x14ac:dyDescent="0.3">
      <c r="A4">
        <v>2</v>
      </c>
      <c r="B4">
        <v>154</v>
      </c>
      <c r="C4" s="3">
        <v>640</v>
      </c>
      <c r="D4" s="3">
        <v>80000</v>
      </c>
      <c r="E4" s="2">
        <v>0.08</v>
      </c>
      <c r="F4" s="3">
        <v>120</v>
      </c>
      <c r="G4" s="3">
        <f t="shared" ref="G4:G9" si="0">(1-E4)*C4-F4</f>
        <v>468.80000000000007</v>
      </c>
      <c r="H4" s="4">
        <f t="shared" ref="H4:H9" si="1">G4/D4</f>
        <v>5.8600000000000006E-3</v>
      </c>
      <c r="I4" s="6">
        <f t="shared" ref="I4:I9" si="2">(H4-$H$10)/$H$11</f>
        <v>-0.15762815516090775</v>
      </c>
    </row>
    <row r="5" spans="1:9" x14ac:dyDescent="0.3">
      <c r="A5">
        <v>3</v>
      </c>
      <c r="B5">
        <v>132</v>
      </c>
      <c r="C5" s="3">
        <v>610</v>
      </c>
      <c r="D5" s="3">
        <v>75000</v>
      </c>
      <c r="E5" s="2">
        <v>0.08</v>
      </c>
      <c r="F5" s="3">
        <v>125</v>
      </c>
      <c r="G5" s="3">
        <f t="shared" si="0"/>
        <v>436.20000000000005</v>
      </c>
      <c r="H5" s="4">
        <f t="shared" si="1"/>
        <v>5.8160000000000009E-3</v>
      </c>
      <c r="I5" s="6">
        <f t="shared" si="2"/>
        <v>-0.30973173687556205</v>
      </c>
    </row>
    <row r="6" spans="1:9" x14ac:dyDescent="0.3">
      <c r="A6">
        <v>4</v>
      </c>
      <c r="B6">
        <v>105</v>
      </c>
      <c r="C6" s="3">
        <v>550</v>
      </c>
      <c r="D6" s="3">
        <v>71500</v>
      </c>
      <c r="E6" s="2">
        <v>0.05</v>
      </c>
      <c r="F6" s="3">
        <v>135</v>
      </c>
      <c r="G6" s="3">
        <f t="shared" si="0"/>
        <v>387.5</v>
      </c>
      <c r="H6" s="4">
        <f t="shared" si="1"/>
        <v>5.4195804195804193E-3</v>
      </c>
      <c r="I6" s="6">
        <f t="shared" si="2"/>
        <v>-1.6801144196855418</v>
      </c>
    </row>
    <row r="7" spans="1:9" x14ac:dyDescent="0.3">
      <c r="A7">
        <v>5</v>
      </c>
      <c r="B7">
        <v>140</v>
      </c>
      <c r="C7" s="3">
        <v>625</v>
      </c>
      <c r="D7" s="3">
        <v>77000</v>
      </c>
      <c r="E7" s="2">
        <v>7.0000000000000007E-2</v>
      </c>
      <c r="F7" s="3">
        <v>120</v>
      </c>
      <c r="G7" s="3">
        <f t="shared" si="0"/>
        <v>461.25</v>
      </c>
      <c r="H7" s="4">
        <f t="shared" si="1"/>
        <v>5.9902597402597402E-3</v>
      </c>
      <c r="I7" s="6">
        <f t="shared" si="2"/>
        <v>0.29266668681016134</v>
      </c>
    </row>
    <row r="8" spans="1:9" x14ac:dyDescent="0.3">
      <c r="A8">
        <v>6</v>
      </c>
      <c r="B8">
        <v>135</v>
      </c>
      <c r="C8" s="3">
        <v>630</v>
      </c>
      <c r="D8" s="3">
        <v>71000</v>
      </c>
      <c r="E8" s="2">
        <v>0.08</v>
      </c>
      <c r="F8" s="3">
        <v>130</v>
      </c>
      <c r="G8" s="3">
        <f t="shared" si="0"/>
        <v>449.6</v>
      </c>
      <c r="H8" s="4">
        <f t="shared" si="1"/>
        <v>6.3323943661971836E-3</v>
      </c>
      <c r="I8" s="6">
        <f t="shared" si="2"/>
        <v>1.475391733030363</v>
      </c>
    </row>
    <row r="9" spans="1:9" x14ac:dyDescent="0.3">
      <c r="A9">
        <v>7</v>
      </c>
      <c r="B9">
        <v>117</v>
      </c>
      <c r="C9" s="3">
        <v>600</v>
      </c>
      <c r="D9" s="3">
        <v>75000</v>
      </c>
      <c r="E9" s="2">
        <v>0.06</v>
      </c>
      <c r="F9" s="3">
        <v>130</v>
      </c>
      <c r="G9" s="3">
        <f t="shared" si="0"/>
        <v>434</v>
      </c>
      <c r="H9" s="4">
        <f t="shared" si="1"/>
        <v>5.7866666666666665E-3</v>
      </c>
      <c r="I9" s="6">
        <f t="shared" si="2"/>
        <v>-0.41113412468533556</v>
      </c>
    </row>
    <row r="10" spans="1:9" x14ac:dyDescent="0.3">
      <c r="A10" t="s">
        <v>2</v>
      </c>
      <c r="C10" s="3">
        <v>600</v>
      </c>
      <c r="D10" t="s">
        <v>3</v>
      </c>
      <c r="E10" s="2">
        <v>7.0000000000000007E-2</v>
      </c>
      <c r="F10" s="3">
        <v>125</v>
      </c>
      <c r="G10" s="7" t="s">
        <v>5</v>
      </c>
      <c r="H10" s="8">
        <f>AVERAGE(H3:H9)</f>
        <v>5.9055981295699613E-3</v>
      </c>
      <c r="I10" s="6"/>
    </row>
    <row r="11" spans="1:9" x14ac:dyDescent="0.3">
      <c r="G11" s="7" t="s">
        <v>8</v>
      </c>
      <c r="H11" s="8">
        <f>_xlfn.STDEV.S(H3:H9)</f>
        <v>2.8927655420069986E-4</v>
      </c>
      <c r="I11" s="6"/>
    </row>
    <row r="12" spans="1:9" x14ac:dyDescent="0.3">
      <c r="G12" s="7" t="s">
        <v>6</v>
      </c>
      <c r="H12" s="9">
        <f>H11/H10</f>
        <v>4.8983447206179039E-2</v>
      </c>
      <c r="I12" s="6"/>
    </row>
    <row r="14" spans="1:9" x14ac:dyDescent="0.3">
      <c r="G14" s="11" t="s">
        <v>4</v>
      </c>
      <c r="H14" s="10">
        <f>((1-E10)*C10-F10)/H10</f>
        <v>73320.261639870601</v>
      </c>
    </row>
    <row r="18" spans="14:14" x14ac:dyDescent="0.3">
      <c r="N18" s="5"/>
    </row>
  </sheetData>
  <mergeCells count="1"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 P Droubi</dc:creator>
  <cp:lastModifiedBy>Luiz F P Droubi</cp:lastModifiedBy>
  <dcterms:created xsi:type="dcterms:W3CDTF">2025-08-14T17:20:16Z</dcterms:created>
  <dcterms:modified xsi:type="dcterms:W3CDTF">2025-08-16T01:04:57Z</dcterms:modified>
</cp:coreProperties>
</file>