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75"/>
  </bookViews>
  <sheets>
    <sheet name="Dados" sheetId="1" r:id="rId1"/>
    <sheet name="Aval" sheetId="2" r:id="rId2"/>
  </sheets>
  <definedNames>
    <definedName name="_xlnm._FilterDatabase" localSheetId="0" hidden="1">Dados!$B$1:$B$41</definedName>
  </definedNames>
  <calcPr calcId="144525"/>
</workbook>
</file>

<file path=xl/sharedStrings.xml><?xml version="1.0" encoding="utf-8"?>
<sst xmlns="http://schemas.openxmlformats.org/spreadsheetml/2006/main" count="114" uniqueCount="35">
  <si>
    <t>Id</t>
  </si>
  <si>
    <t>Atividade</t>
  </si>
  <si>
    <t>AtividadeNum</t>
  </si>
  <si>
    <t>Diversos</t>
  </si>
  <si>
    <t>FastFood</t>
  </si>
  <si>
    <t>Vestuario</t>
  </si>
  <si>
    <t>Bancos</t>
  </si>
  <si>
    <t>Joias</t>
  </si>
  <si>
    <t>AndarTerreo</t>
  </si>
  <si>
    <t>Area</t>
  </si>
  <si>
    <t>Vitrine</t>
  </si>
  <si>
    <t>Mall</t>
  </si>
  <si>
    <t>VU</t>
  </si>
  <si>
    <t>agências bancárias</t>
  </si>
  <si>
    <t>esportes</t>
  </si>
  <si>
    <t>sim</t>
  </si>
  <si>
    <t>Joalheria</t>
  </si>
  <si>
    <t>joalheria</t>
  </si>
  <si>
    <t>roupas femininas</t>
  </si>
  <si>
    <t>roupas masculinas</t>
  </si>
  <si>
    <t>não</t>
  </si>
  <si>
    <t>fast-food</t>
  </si>
  <si>
    <t>importados</t>
  </si>
  <si>
    <t>informática</t>
  </si>
  <si>
    <t>papelaria</t>
  </si>
  <si>
    <t>agência bancária</t>
  </si>
  <si>
    <t>tapetes</t>
  </si>
  <si>
    <t>]</t>
  </si>
  <si>
    <t>Equação Alonso, p. 243</t>
  </si>
  <si>
    <t>Equação SISDEA</t>
  </si>
  <si>
    <t>Intercepto</t>
  </si>
  <si>
    <t>Área</t>
  </si>
  <si>
    <t>LN(AREA)</t>
  </si>
  <si>
    <t>Térreo</t>
  </si>
  <si>
    <t>Aluguel</t>
  </si>
</sst>
</file>

<file path=xl/styles.xml><?xml version="1.0" encoding="utf-8"?>
<styleSheet xmlns="http://schemas.openxmlformats.org/spreadsheetml/2006/main">
  <numFmts count="5">
    <numFmt numFmtId="176" formatCode="_-* #,##0_-;\-* #,##0_-;_-* &quot;-&quot;_-;_-@_-"/>
    <numFmt numFmtId="177" formatCode="_-&quot;R$&quot;\ * #,##0_-;\-&quot;R$&quot;\ * #,##0_-;_-&quot;R$&quot;\ * &quot;-&quot;_-;_-@_-"/>
    <numFmt numFmtId="178" formatCode="_-* #,##0.00_-;\-* #,##0.00_-;_-* &quot;-&quot;??_-;_-@_-"/>
    <numFmt numFmtId="179" formatCode="_-&quot;R$&quot;\ * #,##0.00_-;\-&quot;R$&quot;\ * #,##0.00_-;_-&quot;R$&quot;\ * &quot;-&quot;??_-;_-@_-"/>
    <numFmt numFmtId="180" formatCode="0.00_ "/>
  </numFmts>
  <fonts count="20">
    <font>
      <sz val="10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" fillId="13" borderId="0" applyNumberFormat="0" applyBorder="0" applyAlignment="0" applyProtection="0"/>
    <xf numFmtId="9" fontId="0" fillId="0" borderId="0" applyFont="0" applyFill="0" applyBorder="0" applyAlignment="0" applyProtection="0"/>
    <xf numFmtId="0" fontId="6" fillId="0" borderId="3" applyNumberFormat="0" applyFill="0" applyAlignment="0" applyProtection="0"/>
    <xf numFmtId="0" fontId="4" fillId="5" borderId="2" applyNumberFormat="0" applyAlignment="0" applyProtection="0"/>
    <xf numFmtId="177" fontId="0" fillId="0" borderId="0" applyFont="0" applyFill="0" applyBorder="0" applyAlignment="0" applyProtection="0"/>
    <xf numFmtId="0" fontId="3" fillId="17" borderId="0" applyNumberFormat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0" fillId="19" borderId="4" applyNumberFormat="0" applyFont="0" applyAlignment="0" applyProtection="0"/>
    <xf numFmtId="0" fontId="3" fillId="16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" fillId="15" borderId="0" applyNumberFormat="0" applyBorder="0" applyAlignment="0" applyProtection="0"/>
    <xf numFmtId="0" fontId="12" fillId="0" borderId="5" applyNumberFormat="0" applyFill="0" applyAlignment="0" applyProtection="0"/>
    <xf numFmtId="0" fontId="5" fillId="26" borderId="0" applyNumberFormat="0" applyBorder="0" applyAlignment="0" applyProtection="0"/>
    <xf numFmtId="0" fontId="13" fillId="0" borderId="5" applyNumberFormat="0" applyFill="0" applyAlignment="0" applyProtection="0"/>
    <xf numFmtId="0" fontId="5" fillId="23" borderId="0" applyNumberFormat="0" applyBorder="0" applyAlignment="0" applyProtection="0"/>
    <xf numFmtId="0" fontId="14" fillId="0" borderId="6" applyNumberFormat="0" applyFill="0" applyAlignment="0" applyProtection="0"/>
    <xf numFmtId="0" fontId="5" fillId="27" borderId="0" applyNumberFormat="0" applyBorder="0" applyAlignment="0" applyProtection="0"/>
    <xf numFmtId="0" fontId="14" fillId="0" borderId="0" applyNumberFormat="0" applyFill="0" applyBorder="0" applyAlignment="0" applyProtection="0"/>
    <xf numFmtId="0" fontId="16" fillId="29" borderId="7" applyNumberFormat="0" applyAlignment="0" applyProtection="0"/>
    <xf numFmtId="0" fontId="2" fillId="3" borderId="1" applyNumberFormat="0" applyAlignment="0" applyProtection="0"/>
    <xf numFmtId="0" fontId="17" fillId="3" borderId="7" applyNumberFormat="0" applyAlignment="0" applyProtection="0"/>
    <xf numFmtId="0" fontId="18" fillId="0" borderId="8" applyNumberFormat="0" applyFill="0" applyAlignment="0" applyProtection="0"/>
    <xf numFmtId="0" fontId="3" fillId="4" borderId="0" applyNumberFormat="0" applyBorder="0" applyAlignment="0" applyProtection="0"/>
    <xf numFmtId="0" fontId="19" fillId="31" borderId="0" applyNumberFormat="0" applyBorder="0" applyAlignment="0" applyProtection="0"/>
    <xf numFmtId="0" fontId="1" fillId="2" borderId="0" applyNumberFormat="0" applyBorder="0" applyAlignment="0" applyProtection="0"/>
    <xf numFmtId="0" fontId="15" fillId="28" borderId="0" applyNumberFormat="0" applyBorder="0" applyAlignment="0" applyProtection="0"/>
    <xf numFmtId="0" fontId="3" fillId="12" borderId="0" applyNumberFormat="0" applyBorder="0" applyAlignment="0" applyProtection="0"/>
    <xf numFmtId="0" fontId="5" fillId="30" borderId="0" applyNumberFormat="0" applyBorder="0" applyAlignment="0" applyProtection="0"/>
    <xf numFmtId="0" fontId="3" fillId="14" borderId="0" applyNumberFormat="0" applyBorder="0" applyAlignment="0" applyProtection="0"/>
    <xf numFmtId="0" fontId="5" fillId="22" borderId="0" applyNumberFormat="0" applyBorder="0" applyAlignment="0" applyProtection="0"/>
    <xf numFmtId="0" fontId="3" fillId="25" borderId="0" applyNumberFormat="0" applyBorder="0" applyAlignment="0" applyProtection="0"/>
    <xf numFmtId="0" fontId="5" fillId="24" borderId="0" applyNumberFormat="0" applyBorder="0" applyAlignment="0" applyProtection="0"/>
    <xf numFmtId="0" fontId="3" fillId="18" borderId="0" applyNumberFormat="0" applyBorder="0" applyAlignment="0" applyProtection="0"/>
    <xf numFmtId="0" fontId="5" fillId="32" borderId="0" applyNumberFormat="0" applyBorder="0" applyAlignment="0" applyProtection="0"/>
    <xf numFmtId="0" fontId="3" fillId="21" borderId="0" applyNumberFormat="0" applyBorder="0" applyAlignment="0" applyProtection="0"/>
    <xf numFmtId="0" fontId="5" fillId="8" borderId="0" applyNumberFormat="0" applyBorder="0" applyAlignment="0" applyProtection="0"/>
    <xf numFmtId="0" fontId="3" fillId="11" borderId="0" applyNumberFormat="0" applyBorder="0" applyAlignment="0" applyProtection="0"/>
    <xf numFmtId="0" fontId="5" fillId="7" borderId="0" applyNumberFormat="0" applyBorder="0" applyAlignment="0" applyProtection="0"/>
    <xf numFmtId="0" fontId="3" fillId="2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workbookViewId="0">
      <selection activeCell="P1" sqref="P1:Q2"/>
    </sheetView>
  </sheetViews>
  <sheetFormatPr defaultColWidth="8.88888888888889" defaultRowHeight="13.8"/>
  <cols>
    <col min="2" max="8" width="15.6666666666667" customWidth="1"/>
    <col min="9" max="9" width="11.5555555555556" customWidth="1"/>
    <col min="16" max="16" width="16.7777777777778" customWidth="1"/>
    <col min="17" max="17" width="12.8888888888889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13</v>
      </c>
      <c r="Q1">
        <f>AVERAGE(81.81,105.96,94.18)</f>
        <v>93.9833333333333</v>
      </c>
    </row>
    <row r="2" spans="1:17">
      <c r="A2">
        <v>1</v>
      </c>
      <c r="B2" t="s">
        <v>14</v>
      </c>
      <c r="C2">
        <f>1*D2+1.1*E2+1.2*F2+1.3*G2+1.4*H2</f>
        <v>1</v>
      </c>
      <c r="D2">
        <f>IF(E2=1,0,IF(F2=1,0,IF(G2=1,0,IF(H2=1,0,1))))</f>
        <v>1</v>
      </c>
      <c r="E2">
        <f>IF(B2="fast-food",1,0)</f>
        <v>0</v>
      </c>
      <c r="F2">
        <f>IF(B2="roupas masculinas",1,IF(B2="roupas femininas",1,0))</f>
        <v>0</v>
      </c>
      <c r="G2">
        <f>IF(B2="agência bancária",1,0)</f>
        <v>0</v>
      </c>
      <c r="H2">
        <f>IF(B2="joalheria",1,0)</f>
        <v>0</v>
      </c>
      <c r="I2">
        <v>0</v>
      </c>
      <c r="J2">
        <v>61.52</v>
      </c>
      <c r="K2">
        <v>8.6</v>
      </c>
      <c r="L2" t="s">
        <v>15</v>
      </c>
      <c r="M2">
        <v>86.34</v>
      </c>
      <c r="P2" t="s">
        <v>16</v>
      </c>
      <c r="Q2">
        <f>AVERAGE(96.27,100,90.92,88.51,120)</f>
        <v>99.14</v>
      </c>
    </row>
    <row r="3" spans="1:13">
      <c r="A3">
        <v>2</v>
      </c>
      <c r="B3" t="s">
        <v>17</v>
      </c>
      <c r="C3">
        <f t="shared" ref="C3:C38" si="0">1*D3+1.1*E3+1.2*F3+1.3*G3+1.4*H3</f>
        <v>1.4</v>
      </c>
      <c r="D3">
        <f t="shared" ref="D3:D38" si="1">IF(E3=1,0,IF(F3=1,0,IF(G3=1,0,IF(H3=1,0,1))))</f>
        <v>0</v>
      </c>
      <c r="E3">
        <f t="shared" ref="E3:E38" si="2">IF(B3="fast-food",1,0)</f>
        <v>0</v>
      </c>
      <c r="F3">
        <f t="shared" ref="F3:F38" si="3">IF(B3="roupas masculinas",1,IF(B3="roupas femininas",1,0))</f>
        <v>0</v>
      </c>
      <c r="G3">
        <f t="shared" ref="G3:G38" si="4">IF(B3="agência bancária",1,0)</f>
        <v>0</v>
      </c>
      <c r="H3">
        <f t="shared" ref="H3:H38" si="5">IF(B3="joalheria",1,0)</f>
        <v>1</v>
      </c>
      <c r="I3">
        <v>1</v>
      </c>
      <c r="J3">
        <v>61.8</v>
      </c>
      <c r="K3">
        <v>11</v>
      </c>
      <c r="L3" t="s">
        <v>15</v>
      </c>
      <c r="M3">
        <v>96.27</v>
      </c>
    </row>
    <row r="4" spans="1:13">
      <c r="A4">
        <v>3</v>
      </c>
      <c r="B4" t="s">
        <v>18</v>
      </c>
      <c r="C4">
        <f t="shared" si="0"/>
        <v>1.2</v>
      </c>
      <c r="D4">
        <f t="shared" si="1"/>
        <v>0</v>
      </c>
      <c r="E4">
        <f t="shared" si="2"/>
        <v>0</v>
      </c>
      <c r="F4">
        <f t="shared" si="3"/>
        <v>1</v>
      </c>
      <c r="G4">
        <f t="shared" si="4"/>
        <v>0</v>
      </c>
      <c r="H4">
        <f t="shared" si="5"/>
        <v>0</v>
      </c>
      <c r="I4">
        <v>0</v>
      </c>
      <c r="J4">
        <v>65</v>
      </c>
      <c r="K4">
        <v>9.6</v>
      </c>
      <c r="L4" t="s">
        <v>15</v>
      </c>
      <c r="M4">
        <v>110.69</v>
      </c>
    </row>
    <row r="5" spans="1:13">
      <c r="A5">
        <v>4</v>
      </c>
      <c r="B5" t="s">
        <v>19</v>
      </c>
      <c r="C5">
        <f t="shared" si="0"/>
        <v>1.2</v>
      </c>
      <c r="D5">
        <f t="shared" si="1"/>
        <v>0</v>
      </c>
      <c r="E5">
        <f t="shared" si="2"/>
        <v>0</v>
      </c>
      <c r="F5">
        <f t="shared" si="3"/>
        <v>1</v>
      </c>
      <c r="G5">
        <f t="shared" si="4"/>
        <v>0</v>
      </c>
      <c r="H5">
        <f t="shared" si="5"/>
        <v>0</v>
      </c>
      <c r="I5">
        <v>1</v>
      </c>
      <c r="J5">
        <v>68.13</v>
      </c>
      <c r="K5">
        <v>5</v>
      </c>
      <c r="L5" t="s">
        <v>20</v>
      </c>
      <c r="M5">
        <v>75.44</v>
      </c>
    </row>
    <row r="6" spans="1:13">
      <c r="A6">
        <v>5</v>
      </c>
      <c r="B6" t="s">
        <v>14</v>
      </c>
      <c r="C6">
        <f t="shared" si="0"/>
        <v>1</v>
      </c>
      <c r="D6">
        <f t="shared" si="1"/>
        <v>1</v>
      </c>
      <c r="E6">
        <f t="shared" si="2"/>
        <v>0</v>
      </c>
      <c r="F6">
        <f t="shared" si="3"/>
        <v>0</v>
      </c>
      <c r="G6">
        <f t="shared" si="4"/>
        <v>0</v>
      </c>
      <c r="H6">
        <f t="shared" si="5"/>
        <v>0</v>
      </c>
      <c r="I6">
        <v>1</v>
      </c>
      <c r="J6">
        <v>70</v>
      </c>
      <c r="K6">
        <v>5</v>
      </c>
      <c r="L6" t="s">
        <v>20</v>
      </c>
      <c r="M6">
        <v>83.89</v>
      </c>
    </row>
    <row r="7" spans="1:13">
      <c r="A7">
        <v>6</v>
      </c>
      <c r="B7" t="s">
        <v>17</v>
      </c>
      <c r="C7">
        <f t="shared" si="0"/>
        <v>1.4</v>
      </c>
      <c r="D7">
        <f t="shared" si="1"/>
        <v>0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1</v>
      </c>
      <c r="I7">
        <v>1</v>
      </c>
      <c r="J7">
        <v>70</v>
      </c>
      <c r="K7">
        <v>5</v>
      </c>
      <c r="L7" t="s">
        <v>20</v>
      </c>
      <c r="M7">
        <v>100</v>
      </c>
    </row>
    <row r="8" spans="1:13">
      <c r="A8">
        <v>7</v>
      </c>
      <c r="B8" t="s">
        <v>17</v>
      </c>
      <c r="C8">
        <f t="shared" si="0"/>
        <v>1.4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1</v>
      </c>
      <c r="I8">
        <v>1</v>
      </c>
      <c r="J8">
        <v>70.5</v>
      </c>
      <c r="K8">
        <v>5</v>
      </c>
      <c r="L8" t="s">
        <v>20</v>
      </c>
      <c r="M8">
        <v>90.92</v>
      </c>
    </row>
    <row r="9" spans="1:13">
      <c r="A9">
        <v>8</v>
      </c>
      <c r="B9" t="s">
        <v>21</v>
      </c>
      <c r="C9">
        <f t="shared" si="0"/>
        <v>1.1</v>
      </c>
      <c r="D9">
        <f t="shared" si="1"/>
        <v>0</v>
      </c>
      <c r="E9">
        <f t="shared" si="2"/>
        <v>1</v>
      </c>
      <c r="F9">
        <f t="shared" si="3"/>
        <v>0</v>
      </c>
      <c r="G9">
        <f t="shared" si="4"/>
        <v>0</v>
      </c>
      <c r="H9">
        <f t="shared" si="5"/>
        <v>0</v>
      </c>
      <c r="I9">
        <v>0</v>
      </c>
      <c r="J9">
        <v>70.92</v>
      </c>
      <c r="K9">
        <v>7</v>
      </c>
      <c r="L9" t="s">
        <v>15</v>
      </c>
      <c r="M9">
        <v>89.96</v>
      </c>
    </row>
    <row r="10" spans="1:13">
      <c r="A10">
        <v>9</v>
      </c>
      <c r="B10" t="s">
        <v>21</v>
      </c>
      <c r="C10">
        <f t="shared" si="0"/>
        <v>1.1</v>
      </c>
      <c r="D10">
        <f t="shared" si="1"/>
        <v>0</v>
      </c>
      <c r="E10">
        <f t="shared" si="2"/>
        <v>1</v>
      </c>
      <c r="F10">
        <f t="shared" si="3"/>
        <v>0</v>
      </c>
      <c r="G10">
        <f t="shared" si="4"/>
        <v>0</v>
      </c>
      <c r="H10">
        <f t="shared" si="5"/>
        <v>0</v>
      </c>
      <c r="I10">
        <v>1</v>
      </c>
      <c r="J10">
        <v>71.4</v>
      </c>
      <c r="K10">
        <v>7.2</v>
      </c>
      <c r="L10" t="s">
        <v>15</v>
      </c>
      <c r="M10">
        <v>83.02</v>
      </c>
    </row>
    <row r="11" spans="1:13">
      <c r="A11">
        <v>10</v>
      </c>
      <c r="B11" t="s">
        <v>21</v>
      </c>
      <c r="C11">
        <f t="shared" si="0"/>
        <v>1.1</v>
      </c>
      <c r="D11">
        <f t="shared" si="1"/>
        <v>0</v>
      </c>
      <c r="E11">
        <f t="shared" si="2"/>
        <v>1</v>
      </c>
      <c r="F11">
        <f t="shared" si="3"/>
        <v>0</v>
      </c>
      <c r="G11">
        <f t="shared" si="4"/>
        <v>0</v>
      </c>
      <c r="H11">
        <f t="shared" si="5"/>
        <v>0</v>
      </c>
      <c r="I11">
        <v>1</v>
      </c>
      <c r="J11">
        <v>71.49</v>
      </c>
      <c r="K11">
        <v>10.6</v>
      </c>
      <c r="L11" t="s">
        <v>15</v>
      </c>
      <c r="M11">
        <v>78.6</v>
      </c>
    </row>
    <row r="12" spans="1:13">
      <c r="A12">
        <v>11</v>
      </c>
      <c r="B12" t="s">
        <v>19</v>
      </c>
      <c r="C12">
        <f t="shared" si="0"/>
        <v>1.2</v>
      </c>
      <c r="D12">
        <f t="shared" si="1"/>
        <v>0</v>
      </c>
      <c r="E12">
        <f t="shared" si="2"/>
        <v>0</v>
      </c>
      <c r="F12">
        <f t="shared" si="3"/>
        <v>1</v>
      </c>
      <c r="G12">
        <f t="shared" si="4"/>
        <v>0</v>
      </c>
      <c r="H12">
        <f t="shared" si="5"/>
        <v>0</v>
      </c>
      <c r="I12">
        <v>0</v>
      </c>
      <c r="J12">
        <v>78</v>
      </c>
      <c r="K12">
        <v>10</v>
      </c>
      <c r="L12" t="s">
        <v>15</v>
      </c>
      <c r="M12">
        <v>110</v>
      </c>
    </row>
    <row r="13" spans="1:13">
      <c r="A13">
        <v>12</v>
      </c>
      <c r="B13" t="s">
        <v>17</v>
      </c>
      <c r="C13">
        <f t="shared" si="0"/>
        <v>1.4</v>
      </c>
      <c r="D13">
        <f t="shared" si="1"/>
        <v>0</v>
      </c>
      <c r="E13">
        <f t="shared" si="2"/>
        <v>0</v>
      </c>
      <c r="F13">
        <f t="shared" si="3"/>
        <v>0</v>
      </c>
      <c r="G13">
        <f t="shared" si="4"/>
        <v>0</v>
      </c>
      <c r="H13">
        <f t="shared" si="5"/>
        <v>1</v>
      </c>
      <c r="I13">
        <v>1</v>
      </c>
      <c r="J13">
        <v>82.28</v>
      </c>
      <c r="K13">
        <v>10</v>
      </c>
      <c r="L13" t="s">
        <v>15</v>
      </c>
      <c r="M13">
        <v>88.51</v>
      </c>
    </row>
    <row r="14" spans="1:13">
      <c r="A14">
        <v>13</v>
      </c>
      <c r="B14" t="s">
        <v>19</v>
      </c>
      <c r="C14">
        <f t="shared" si="0"/>
        <v>1.2</v>
      </c>
      <c r="D14">
        <f t="shared" si="1"/>
        <v>0</v>
      </c>
      <c r="E14">
        <f t="shared" si="2"/>
        <v>0</v>
      </c>
      <c r="F14">
        <f t="shared" si="3"/>
        <v>1</v>
      </c>
      <c r="G14">
        <f t="shared" si="4"/>
        <v>0</v>
      </c>
      <c r="H14">
        <f t="shared" si="5"/>
        <v>0</v>
      </c>
      <c r="I14">
        <v>0</v>
      </c>
      <c r="J14">
        <v>82.28</v>
      </c>
      <c r="K14">
        <v>4.34</v>
      </c>
      <c r="L14" t="s">
        <v>20</v>
      </c>
      <c r="M14">
        <v>99.83</v>
      </c>
    </row>
    <row r="15" spans="1:13">
      <c r="A15">
        <v>14</v>
      </c>
      <c r="B15" t="s">
        <v>17</v>
      </c>
      <c r="C15">
        <f t="shared" si="0"/>
        <v>1.4</v>
      </c>
      <c r="D15">
        <f t="shared" si="1"/>
        <v>0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1</v>
      </c>
      <c r="I15">
        <v>1</v>
      </c>
      <c r="J15">
        <v>82.7</v>
      </c>
      <c r="K15">
        <v>10</v>
      </c>
      <c r="L15" t="s">
        <v>20</v>
      </c>
      <c r="M15">
        <v>120</v>
      </c>
    </row>
    <row r="16" spans="1:13">
      <c r="A16">
        <v>15</v>
      </c>
      <c r="B16" t="s">
        <v>22</v>
      </c>
      <c r="C16">
        <f t="shared" si="0"/>
        <v>1</v>
      </c>
      <c r="D16">
        <f t="shared" si="1"/>
        <v>1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0</v>
      </c>
      <c r="I16">
        <v>1</v>
      </c>
      <c r="J16">
        <v>96.39</v>
      </c>
      <c r="K16">
        <v>7</v>
      </c>
      <c r="L16" t="s">
        <v>20</v>
      </c>
      <c r="M16">
        <v>68.24</v>
      </c>
    </row>
    <row r="17" spans="1:13">
      <c r="A17">
        <v>16</v>
      </c>
      <c r="B17" t="s">
        <v>23</v>
      </c>
      <c r="C17">
        <f t="shared" si="0"/>
        <v>1</v>
      </c>
      <c r="D17">
        <f t="shared" si="1"/>
        <v>1</v>
      </c>
      <c r="E17">
        <f t="shared" si="2"/>
        <v>0</v>
      </c>
      <c r="F17">
        <f t="shared" si="3"/>
        <v>0</v>
      </c>
      <c r="G17">
        <f t="shared" si="4"/>
        <v>0</v>
      </c>
      <c r="H17">
        <f t="shared" si="5"/>
        <v>0</v>
      </c>
      <c r="I17">
        <v>0</v>
      </c>
      <c r="J17">
        <v>96.4</v>
      </c>
      <c r="K17">
        <v>7</v>
      </c>
      <c r="L17" t="s">
        <v>20</v>
      </c>
      <c r="M17">
        <v>75.44</v>
      </c>
    </row>
    <row r="18" spans="1:13">
      <c r="A18">
        <v>17</v>
      </c>
      <c r="B18" t="s">
        <v>23</v>
      </c>
      <c r="C18">
        <f t="shared" si="0"/>
        <v>1</v>
      </c>
      <c r="D18">
        <f t="shared" si="1"/>
        <v>1</v>
      </c>
      <c r="E18">
        <f t="shared" si="2"/>
        <v>0</v>
      </c>
      <c r="F18">
        <f t="shared" si="3"/>
        <v>0</v>
      </c>
      <c r="G18">
        <f t="shared" si="4"/>
        <v>0</v>
      </c>
      <c r="H18">
        <f t="shared" si="5"/>
        <v>0</v>
      </c>
      <c r="I18">
        <v>1</v>
      </c>
      <c r="J18">
        <v>98.36</v>
      </c>
      <c r="K18">
        <v>6</v>
      </c>
      <c r="L18" t="s">
        <v>15</v>
      </c>
      <c r="M18">
        <v>66.41</v>
      </c>
    </row>
    <row r="19" spans="1:13">
      <c r="A19">
        <v>18</v>
      </c>
      <c r="B19" t="s">
        <v>19</v>
      </c>
      <c r="C19">
        <f t="shared" si="0"/>
        <v>1.2</v>
      </c>
      <c r="D19">
        <f t="shared" si="1"/>
        <v>0</v>
      </c>
      <c r="E19">
        <f t="shared" si="2"/>
        <v>0</v>
      </c>
      <c r="F19">
        <f t="shared" si="3"/>
        <v>1</v>
      </c>
      <c r="G19">
        <f t="shared" si="4"/>
        <v>0</v>
      </c>
      <c r="H19">
        <f t="shared" si="5"/>
        <v>0</v>
      </c>
      <c r="I19">
        <v>0</v>
      </c>
      <c r="J19">
        <v>100</v>
      </c>
      <c r="K19">
        <v>7.85</v>
      </c>
      <c r="L19" t="s">
        <v>20</v>
      </c>
      <c r="M19">
        <v>85.59</v>
      </c>
    </row>
    <row r="20" spans="1:13">
      <c r="A20">
        <v>19</v>
      </c>
      <c r="B20" t="s">
        <v>21</v>
      </c>
      <c r="C20">
        <f t="shared" si="0"/>
        <v>1.1</v>
      </c>
      <c r="D20">
        <f t="shared" si="1"/>
        <v>0</v>
      </c>
      <c r="E20">
        <f t="shared" si="2"/>
        <v>1</v>
      </c>
      <c r="F20">
        <f t="shared" si="3"/>
        <v>0</v>
      </c>
      <c r="G20">
        <f t="shared" si="4"/>
        <v>0</v>
      </c>
      <c r="H20">
        <f t="shared" si="5"/>
        <v>0</v>
      </c>
      <c r="I20">
        <v>1</v>
      </c>
      <c r="J20">
        <v>100.86</v>
      </c>
      <c r="K20">
        <v>10</v>
      </c>
      <c r="L20" t="s">
        <v>20</v>
      </c>
      <c r="M20">
        <v>62.6</v>
      </c>
    </row>
    <row r="21" spans="1:13">
      <c r="A21">
        <v>20</v>
      </c>
      <c r="B21" t="s">
        <v>19</v>
      </c>
      <c r="C21">
        <f t="shared" si="0"/>
        <v>1.2</v>
      </c>
      <c r="D21">
        <f t="shared" si="1"/>
        <v>0</v>
      </c>
      <c r="E21">
        <f t="shared" si="2"/>
        <v>0</v>
      </c>
      <c r="F21">
        <f t="shared" si="3"/>
        <v>1</v>
      </c>
      <c r="G21">
        <f t="shared" si="4"/>
        <v>0</v>
      </c>
      <c r="H21">
        <f t="shared" si="5"/>
        <v>0</v>
      </c>
      <c r="I21">
        <v>1</v>
      </c>
      <c r="J21">
        <v>104.59</v>
      </c>
      <c r="K21">
        <v>5.4</v>
      </c>
      <c r="L21" t="s">
        <v>15</v>
      </c>
      <c r="M21">
        <v>88.06</v>
      </c>
    </row>
    <row r="22" spans="1:13">
      <c r="A22">
        <v>21</v>
      </c>
      <c r="B22" t="s">
        <v>19</v>
      </c>
      <c r="C22">
        <f t="shared" si="0"/>
        <v>1.2</v>
      </c>
      <c r="D22">
        <f t="shared" si="1"/>
        <v>0</v>
      </c>
      <c r="E22">
        <f t="shared" si="2"/>
        <v>0</v>
      </c>
      <c r="F22">
        <f t="shared" si="3"/>
        <v>1</v>
      </c>
      <c r="G22">
        <f t="shared" si="4"/>
        <v>0</v>
      </c>
      <c r="H22">
        <f t="shared" si="5"/>
        <v>0</v>
      </c>
      <c r="I22">
        <v>1</v>
      </c>
      <c r="J22">
        <v>107.34</v>
      </c>
      <c r="K22">
        <v>6.6</v>
      </c>
      <c r="L22" t="s">
        <v>15</v>
      </c>
      <c r="M22">
        <v>80</v>
      </c>
    </row>
    <row r="23" spans="1:13">
      <c r="A23">
        <v>22</v>
      </c>
      <c r="B23" t="s">
        <v>18</v>
      </c>
      <c r="C23">
        <f t="shared" si="0"/>
        <v>1.2</v>
      </c>
      <c r="D23">
        <f t="shared" si="1"/>
        <v>0</v>
      </c>
      <c r="E23">
        <f t="shared" si="2"/>
        <v>0</v>
      </c>
      <c r="F23">
        <f t="shared" si="3"/>
        <v>1</v>
      </c>
      <c r="G23">
        <f t="shared" si="4"/>
        <v>0</v>
      </c>
      <c r="H23">
        <f t="shared" si="5"/>
        <v>0</v>
      </c>
      <c r="I23">
        <v>1</v>
      </c>
      <c r="J23">
        <v>112</v>
      </c>
      <c r="K23">
        <v>5</v>
      </c>
      <c r="L23" t="s">
        <v>15</v>
      </c>
      <c r="M23">
        <v>64.3</v>
      </c>
    </row>
    <row r="24" spans="1:13">
      <c r="A24">
        <v>23</v>
      </c>
      <c r="B24" t="s">
        <v>18</v>
      </c>
      <c r="C24">
        <f t="shared" si="0"/>
        <v>1.2</v>
      </c>
      <c r="D24">
        <f t="shared" si="1"/>
        <v>0</v>
      </c>
      <c r="E24">
        <f t="shared" si="2"/>
        <v>0</v>
      </c>
      <c r="F24">
        <f t="shared" si="3"/>
        <v>1</v>
      </c>
      <c r="G24">
        <f t="shared" si="4"/>
        <v>0</v>
      </c>
      <c r="H24">
        <f t="shared" si="5"/>
        <v>0</v>
      </c>
      <c r="I24">
        <v>0</v>
      </c>
      <c r="J24">
        <v>117.7</v>
      </c>
      <c r="K24">
        <v>10.5</v>
      </c>
      <c r="L24" t="s">
        <v>15</v>
      </c>
      <c r="M24">
        <v>100</v>
      </c>
    </row>
    <row r="25" spans="1:13">
      <c r="A25">
        <v>24</v>
      </c>
      <c r="B25" t="s">
        <v>24</v>
      </c>
      <c r="C25">
        <f t="shared" si="0"/>
        <v>1</v>
      </c>
      <c r="D25">
        <f t="shared" si="1"/>
        <v>1</v>
      </c>
      <c r="E25">
        <f t="shared" si="2"/>
        <v>0</v>
      </c>
      <c r="F25">
        <f t="shared" si="3"/>
        <v>0</v>
      </c>
      <c r="G25">
        <f t="shared" si="4"/>
        <v>0</v>
      </c>
      <c r="H25">
        <f t="shared" si="5"/>
        <v>0</v>
      </c>
      <c r="I25">
        <v>1</v>
      </c>
      <c r="J25">
        <v>118.5</v>
      </c>
      <c r="K25">
        <v>4.4</v>
      </c>
      <c r="L25" t="s">
        <v>15</v>
      </c>
      <c r="M25">
        <v>54.08</v>
      </c>
    </row>
    <row r="26" spans="1:13">
      <c r="A26">
        <v>25</v>
      </c>
      <c r="B26" t="s">
        <v>21</v>
      </c>
      <c r="C26">
        <f t="shared" si="0"/>
        <v>1.1</v>
      </c>
      <c r="D26">
        <f t="shared" si="1"/>
        <v>0</v>
      </c>
      <c r="E26">
        <f t="shared" si="2"/>
        <v>1</v>
      </c>
      <c r="F26">
        <f t="shared" si="3"/>
        <v>0</v>
      </c>
      <c r="G26">
        <f t="shared" si="4"/>
        <v>0</v>
      </c>
      <c r="H26">
        <f t="shared" si="5"/>
        <v>0</v>
      </c>
      <c r="I26">
        <v>1</v>
      </c>
      <c r="J26">
        <v>118.69</v>
      </c>
      <c r="K26">
        <v>10</v>
      </c>
      <c r="L26" t="s">
        <v>20</v>
      </c>
      <c r="M26">
        <v>68.56</v>
      </c>
    </row>
    <row r="27" spans="1:13">
      <c r="A27">
        <v>26</v>
      </c>
      <c r="B27" t="s">
        <v>18</v>
      </c>
      <c r="C27">
        <f t="shared" si="0"/>
        <v>1.2</v>
      </c>
      <c r="D27">
        <f t="shared" si="1"/>
        <v>0</v>
      </c>
      <c r="E27">
        <f t="shared" si="2"/>
        <v>0</v>
      </c>
      <c r="F27">
        <f t="shared" si="3"/>
        <v>1</v>
      </c>
      <c r="G27">
        <f t="shared" si="4"/>
        <v>0</v>
      </c>
      <c r="H27">
        <f t="shared" si="5"/>
        <v>0</v>
      </c>
      <c r="I27">
        <v>0</v>
      </c>
      <c r="J27">
        <v>121.18</v>
      </c>
      <c r="K27">
        <v>10</v>
      </c>
      <c r="L27" t="s">
        <v>20</v>
      </c>
      <c r="M27">
        <v>93.04</v>
      </c>
    </row>
    <row r="28" spans="1:13">
      <c r="A28">
        <v>27</v>
      </c>
      <c r="B28" t="s">
        <v>18</v>
      </c>
      <c r="C28">
        <f t="shared" si="0"/>
        <v>1.2</v>
      </c>
      <c r="D28">
        <f t="shared" si="1"/>
        <v>0</v>
      </c>
      <c r="E28">
        <f t="shared" si="2"/>
        <v>0</v>
      </c>
      <c r="F28">
        <f t="shared" si="3"/>
        <v>1</v>
      </c>
      <c r="G28">
        <f t="shared" si="4"/>
        <v>0</v>
      </c>
      <c r="H28">
        <f t="shared" si="5"/>
        <v>0</v>
      </c>
      <c r="I28">
        <v>0</v>
      </c>
      <c r="J28">
        <v>122.09</v>
      </c>
      <c r="K28">
        <v>7</v>
      </c>
      <c r="L28" t="s">
        <v>20</v>
      </c>
      <c r="M28">
        <v>70.9</v>
      </c>
    </row>
    <row r="29" spans="1:13">
      <c r="A29">
        <v>28</v>
      </c>
      <c r="B29" t="s">
        <v>24</v>
      </c>
      <c r="C29">
        <f t="shared" si="0"/>
        <v>1</v>
      </c>
      <c r="D29">
        <f t="shared" si="1"/>
        <v>1</v>
      </c>
      <c r="E29">
        <f t="shared" si="2"/>
        <v>0</v>
      </c>
      <c r="F29">
        <f t="shared" si="3"/>
        <v>0</v>
      </c>
      <c r="G29">
        <f t="shared" si="4"/>
        <v>0</v>
      </c>
      <c r="H29">
        <f t="shared" si="5"/>
        <v>0</v>
      </c>
      <c r="I29">
        <v>0</v>
      </c>
      <c r="J29">
        <v>127</v>
      </c>
      <c r="K29">
        <v>6.85</v>
      </c>
      <c r="L29" t="s">
        <v>15</v>
      </c>
      <c r="M29">
        <v>45.91</v>
      </c>
    </row>
    <row r="30" spans="1:13">
      <c r="A30">
        <v>29</v>
      </c>
      <c r="B30" t="s">
        <v>18</v>
      </c>
      <c r="C30">
        <f t="shared" si="0"/>
        <v>1.2</v>
      </c>
      <c r="D30">
        <f t="shared" si="1"/>
        <v>0</v>
      </c>
      <c r="E30">
        <f t="shared" si="2"/>
        <v>0</v>
      </c>
      <c r="F30">
        <f t="shared" si="3"/>
        <v>1</v>
      </c>
      <c r="G30">
        <f t="shared" si="4"/>
        <v>0</v>
      </c>
      <c r="H30">
        <f t="shared" si="5"/>
        <v>0</v>
      </c>
      <c r="I30">
        <v>0</v>
      </c>
      <c r="J30">
        <v>133.96</v>
      </c>
      <c r="K30">
        <v>11.5</v>
      </c>
      <c r="L30" t="s">
        <v>15</v>
      </c>
      <c r="M30">
        <v>94.19</v>
      </c>
    </row>
    <row r="31" spans="1:13">
      <c r="A31">
        <v>30</v>
      </c>
      <c r="B31" t="s">
        <v>18</v>
      </c>
      <c r="C31">
        <f t="shared" si="0"/>
        <v>1.2</v>
      </c>
      <c r="D31">
        <f t="shared" si="1"/>
        <v>0</v>
      </c>
      <c r="E31">
        <f t="shared" si="2"/>
        <v>0</v>
      </c>
      <c r="F31">
        <f t="shared" si="3"/>
        <v>1</v>
      </c>
      <c r="G31">
        <f t="shared" si="4"/>
        <v>0</v>
      </c>
      <c r="H31">
        <f t="shared" si="5"/>
        <v>0</v>
      </c>
      <c r="I31">
        <v>0</v>
      </c>
      <c r="J31">
        <v>135.48</v>
      </c>
      <c r="K31">
        <v>10</v>
      </c>
      <c r="L31" t="s">
        <v>20</v>
      </c>
      <c r="M31">
        <v>81.03</v>
      </c>
    </row>
    <row r="32" spans="1:13">
      <c r="A32">
        <v>31</v>
      </c>
      <c r="B32" t="s">
        <v>14</v>
      </c>
      <c r="C32">
        <f t="shared" si="0"/>
        <v>1</v>
      </c>
      <c r="D32">
        <f t="shared" si="1"/>
        <v>1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0</v>
      </c>
      <c r="I32">
        <v>0</v>
      </c>
      <c r="J32">
        <v>136.24</v>
      </c>
      <c r="K32">
        <v>10</v>
      </c>
      <c r="L32" t="s">
        <v>20</v>
      </c>
      <c r="M32">
        <v>62.72</v>
      </c>
    </row>
    <row r="33" spans="1:13">
      <c r="A33">
        <v>32</v>
      </c>
      <c r="B33" t="s">
        <v>19</v>
      </c>
      <c r="C33">
        <f t="shared" si="0"/>
        <v>1.2</v>
      </c>
      <c r="D33">
        <f t="shared" si="1"/>
        <v>0</v>
      </c>
      <c r="E33">
        <f t="shared" si="2"/>
        <v>0</v>
      </c>
      <c r="F33">
        <f t="shared" si="3"/>
        <v>1</v>
      </c>
      <c r="G33">
        <f t="shared" si="4"/>
        <v>0</v>
      </c>
      <c r="H33">
        <f t="shared" si="5"/>
        <v>0</v>
      </c>
      <c r="I33">
        <v>0</v>
      </c>
      <c r="J33">
        <v>149.08</v>
      </c>
      <c r="K33">
        <v>13.5</v>
      </c>
      <c r="L33" t="s">
        <v>20</v>
      </c>
      <c r="M33">
        <v>59.06</v>
      </c>
    </row>
    <row r="34" spans="1:13">
      <c r="A34">
        <v>33</v>
      </c>
      <c r="B34" t="s">
        <v>25</v>
      </c>
      <c r="C34">
        <f t="shared" si="0"/>
        <v>1.3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1</v>
      </c>
      <c r="H34">
        <f t="shared" si="5"/>
        <v>0</v>
      </c>
      <c r="I34">
        <v>1</v>
      </c>
      <c r="J34">
        <v>165.64</v>
      </c>
      <c r="K34">
        <v>17</v>
      </c>
      <c r="L34" t="s">
        <v>15</v>
      </c>
      <c r="M34">
        <v>81.81</v>
      </c>
    </row>
    <row r="35" spans="1:13">
      <c r="A35">
        <v>34</v>
      </c>
      <c r="B35" t="s">
        <v>25</v>
      </c>
      <c r="C35">
        <f t="shared" si="0"/>
        <v>1.3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1</v>
      </c>
      <c r="H35">
        <f t="shared" si="5"/>
        <v>0</v>
      </c>
      <c r="I35">
        <v>0</v>
      </c>
      <c r="J35">
        <v>200.74</v>
      </c>
      <c r="K35">
        <v>7.85</v>
      </c>
      <c r="L35" t="s">
        <v>15</v>
      </c>
      <c r="M35">
        <v>105.96</v>
      </c>
    </row>
    <row r="36" spans="1:13">
      <c r="A36">
        <v>35</v>
      </c>
      <c r="B36" t="s">
        <v>25</v>
      </c>
      <c r="C36">
        <f t="shared" si="0"/>
        <v>1.3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1</v>
      </c>
      <c r="H36">
        <f t="shared" si="5"/>
        <v>0</v>
      </c>
      <c r="I36">
        <v>0</v>
      </c>
      <c r="J36">
        <v>202.75</v>
      </c>
      <c r="K36">
        <v>13</v>
      </c>
      <c r="L36" t="s">
        <v>20</v>
      </c>
      <c r="M36">
        <v>94.18</v>
      </c>
    </row>
    <row r="37" spans="1:13">
      <c r="A37">
        <v>36</v>
      </c>
      <c r="B37" t="s">
        <v>18</v>
      </c>
      <c r="C37">
        <f t="shared" si="0"/>
        <v>1.2</v>
      </c>
      <c r="D37">
        <f t="shared" si="1"/>
        <v>0</v>
      </c>
      <c r="E37">
        <f t="shared" si="2"/>
        <v>0</v>
      </c>
      <c r="F37">
        <f t="shared" si="3"/>
        <v>1</v>
      </c>
      <c r="G37">
        <f t="shared" si="4"/>
        <v>0</v>
      </c>
      <c r="H37">
        <f t="shared" si="5"/>
        <v>0</v>
      </c>
      <c r="I37">
        <v>1</v>
      </c>
      <c r="J37">
        <v>205</v>
      </c>
      <c r="K37">
        <v>7.5</v>
      </c>
      <c r="L37" t="s">
        <v>15</v>
      </c>
      <c r="M37">
        <v>68.86</v>
      </c>
    </row>
    <row r="38" spans="1:13">
      <c r="A38">
        <v>37</v>
      </c>
      <c r="B38" t="s">
        <v>26</v>
      </c>
      <c r="C38">
        <f t="shared" si="0"/>
        <v>1</v>
      </c>
      <c r="D38">
        <f t="shared" si="1"/>
        <v>1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v>1</v>
      </c>
      <c r="J38">
        <v>210.3</v>
      </c>
      <c r="K38">
        <v>5</v>
      </c>
      <c r="L38" t="s">
        <v>20</v>
      </c>
      <c r="M38">
        <v>69.15</v>
      </c>
    </row>
    <row r="41" spans="1:1">
      <c r="A41" t="s">
        <v>27</v>
      </c>
    </row>
  </sheetData>
  <autoFilter ref="B1:B4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10" sqref="B10"/>
    </sheetView>
  </sheetViews>
  <sheetFormatPr defaultColWidth="8.88888888888889" defaultRowHeight="13.8" outlineLevelCol="4"/>
  <sheetData>
    <row r="1" spans="1:4">
      <c r="A1" t="s">
        <v>28</v>
      </c>
      <c r="D1" t="s">
        <v>29</v>
      </c>
    </row>
    <row r="2" spans="1:5">
      <c r="A2" t="s">
        <v>30</v>
      </c>
      <c r="B2">
        <v>106.47</v>
      </c>
      <c r="D2" t="s">
        <v>30</v>
      </c>
      <c r="E2">
        <v>5.681</v>
      </c>
    </row>
    <row r="3" spans="1:5">
      <c r="A3" t="s">
        <v>31</v>
      </c>
      <c r="B3">
        <v>77455</v>
      </c>
      <c r="D3" t="s">
        <v>32</v>
      </c>
      <c r="E3">
        <v>-0.3053</v>
      </c>
    </row>
    <row r="4" spans="1:5">
      <c r="A4" t="s">
        <v>33</v>
      </c>
      <c r="B4">
        <v>-13.345</v>
      </c>
      <c r="D4" t="s">
        <v>33</v>
      </c>
      <c r="E4">
        <v>-0.0983</v>
      </c>
    </row>
    <row r="5" spans="1:5">
      <c r="A5" t="s">
        <v>1</v>
      </c>
      <c r="B5">
        <v>-38.884</v>
      </c>
      <c r="D5" t="s">
        <v>4</v>
      </c>
      <c r="E5">
        <v>0.082</v>
      </c>
    </row>
    <row r="6" spans="4:5">
      <c r="D6" t="s">
        <v>5</v>
      </c>
      <c r="E6">
        <v>0.2135</v>
      </c>
    </row>
    <row r="7" spans="1:5">
      <c r="A7" t="s">
        <v>31</v>
      </c>
      <c r="B7">
        <v>110</v>
      </c>
      <c r="D7" t="s">
        <v>6</v>
      </c>
      <c r="E7">
        <v>0.4895</v>
      </c>
    </row>
    <row r="8" spans="1:5">
      <c r="A8" t="s">
        <v>33</v>
      </c>
      <c r="B8">
        <v>1</v>
      </c>
      <c r="D8" t="s">
        <v>7</v>
      </c>
      <c r="E8">
        <v>0.31785</v>
      </c>
    </row>
    <row r="9" spans="1:2">
      <c r="A9" t="s">
        <v>1</v>
      </c>
      <c r="B9">
        <v>1.4</v>
      </c>
    </row>
    <row r="10" spans="4:5">
      <c r="D10" t="s">
        <v>32</v>
      </c>
      <c r="E10">
        <f>LN(110)</f>
        <v>4.70048036579242</v>
      </c>
    </row>
    <row r="11" spans="1:5">
      <c r="A11" t="s">
        <v>34</v>
      </c>
      <c r="B11">
        <f>B2+B3/B7^2+B4*B8+B5/B9^2</f>
        <v>79.6874641592174</v>
      </c>
      <c r="D11" t="s">
        <v>33</v>
      </c>
      <c r="E11">
        <v>1</v>
      </c>
    </row>
    <row r="12" spans="4:5">
      <c r="D12" t="s">
        <v>4</v>
      </c>
      <c r="E12">
        <v>0</v>
      </c>
    </row>
    <row r="13" spans="4:5">
      <c r="D13" t="s">
        <v>5</v>
      </c>
      <c r="E13">
        <v>1</v>
      </c>
    </row>
    <row r="14" spans="4:5">
      <c r="D14" t="s">
        <v>6</v>
      </c>
      <c r="E14">
        <v>0</v>
      </c>
    </row>
    <row r="15" spans="4:5">
      <c r="D15" t="s">
        <v>7</v>
      </c>
      <c r="E15">
        <v>0</v>
      </c>
    </row>
    <row r="17" spans="4:5">
      <c r="D17" t="s">
        <v>34</v>
      </c>
      <c r="E17" s="1">
        <f>EXP(E2+E3*E10+E4*E11+E5*E12+E6*E13+E7*E14+E8*E15)</f>
        <v>78.346660443287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Dados</vt:lpstr>
      <vt:lpstr>Aval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lfpdr</cp:lastModifiedBy>
  <dcterms:created xsi:type="dcterms:W3CDTF">2022-03-06T21:18:00Z</dcterms:created>
  <dcterms:modified xsi:type="dcterms:W3CDTF">2022-03-12T21:15:57Z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466B6767CFBC4034845DFB924948ABCE</vt:lpwstr>
  </property>
  <property fmtid="{D5CDD505-2E9C-101B-9397-08002B2CF9AE}" pid="3" name="KSOProductBuildVer">
    <vt:lpwstr>1046-11.2.0.11029</vt:lpwstr>
  </property>
</Properties>
</file>