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3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<sst xmlns="http://schemas.openxmlformats.org/spreadsheetml/2006/main" count="66" uniqueCount="43">
  <si>
    <t>Id</t>
  </si>
  <si>
    <t>Indice Local</t>
  </si>
  <si>
    <t>Preco</t>
  </si>
  <si>
    <t>Oferta</t>
  </si>
  <si>
    <t>Valor</t>
  </si>
  <si>
    <t>Terreno</t>
  </si>
  <si>
    <t>Fatores</t>
  </si>
  <si>
    <t>Construção</t>
  </si>
  <si>
    <t>Valor da Construcao</t>
  </si>
  <si>
    <t>Valor Residual</t>
  </si>
  <si>
    <t>VU</t>
  </si>
  <si>
    <t>VUhom</t>
  </si>
  <si>
    <t>VUsaneado</t>
  </si>
  <si>
    <t>Area</t>
  </si>
  <si>
    <t>Validação Area</t>
  </si>
  <si>
    <t>FrentePrinc</t>
  </si>
  <si>
    <t>ProfEq</t>
  </si>
  <si>
    <t>FrenteSec</t>
  </si>
  <si>
    <t>Local</t>
  </si>
  <si>
    <t xml:space="preserve">Frente </t>
  </si>
  <si>
    <t>Prof</t>
  </si>
  <si>
    <t>Esquina</t>
  </si>
  <si>
    <t>Somatório</t>
  </si>
  <si>
    <t>AreaConstruida</t>
  </si>
  <si>
    <t>Padrao</t>
  </si>
  <si>
    <t>FatorPadrao</t>
  </si>
  <si>
    <t>Idade</t>
  </si>
  <si>
    <t>Foc</t>
  </si>
  <si>
    <t>N</t>
  </si>
  <si>
    <t>Res. Simples</t>
  </si>
  <si>
    <t>S</t>
  </si>
  <si>
    <t>Res. Modesto</t>
  </si>
  <si>
    <t>Res. Medio</t>
  </si>
  <si>
    <t>aval</t>
  </si>
  <si>
    <t>Média</t>
  </si>
  <si>
    <t>Desvio</t>
  </si>
  <si>
    <t>Custo Básico</t>
  </si>
  <si>
    <t>Pmi</t>
  </si>
  <si>
    <t>Pma</t>
  </si>
  <si>
    <t>p</t>
  </si>
  <si>
    <t>CV</t>
  </si>
  <si>
    <t>Lim. Sup.</t>
  </si>
  <si>
    <t>Lim. Inf.</t>
  </si>
</sst>
</file>

<file path=xl/styles.xml><?xml version="1.0" encoding="utf-8"?>
<styleSheet xmlns="http://schemas.openxmlformats.org/spreadsheetml/2006/main">
  <numFmts count="5">
    <numFmt numFmtId="176" formatCode="0.00_ "/>
    <numFmt numFmtId="177" formatCode="_-* #,##0_-;\-* #,##0_-;_-* &quot;-&quot;_-;_-@_-"/>
    <numFmt numFmtId="178" formatCode="_-* #,##0.00_-;\-* #,##0.00_-;_-* &quot;-&quot;??_-;_-@_-"/>
    <numFmt numFmtId="179" formatCode="_-&quot;R$&quot;\ * #,##0.00_-;\-&quot;R$&quot;\ * #,##0.00_-;_-&quot;R$&quot;\ * &quot;-&quot;??_-;_-@_-"/>
    <numFmt numFmtId="180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0"/>
      <color theme="0" tint="-0.15"/>
      <name val="Calibri"/>
      <charset val="134"/>
      <scheme val="minor"/>
    </font>
    <font>
      <sz val="10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4" borderId="1" applyNumberFormat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1" applyBorder="1" applyAlignment="1">
      <alignment horizontal="center" vertical="center"/>
    </xf>
    <xf numFmtId="0" fontId="0" fillId="0" borderId="0" xfId="0" applyAlignment="1">
      <alignment vertical="center" wrapText="1"/>
    </xf>
    <xf numFmtId="178" fontId="0" fillId="0" borderId="0" xfId="1" applyBorder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8" fontId="0" fillId="2" borderId="0" xfId="1" applyFill="1">
      <alignment vertical="center"/>
    </xf>
    <xf numFmtId="178" fontId="0" fillId="0" borderId="0" xfId="1" applyAlignment="1">
      <alignment horizontal="center" vertical="center"/>
    </xf>
    <xf numFmtId="178" fontId="1" fillId="0" borderId="0" xfId="1" applyFont="1">
      <alignment vertical="center"/>
    </xf>
    <xf numFmtId="176" fontId="2" fillId="0" borderId="0" xfId="0" applyNumberFormat="1" applyFont="1">
      <alignment vertical="center"/>
    </xf>
    <xf numFmtId="178" fontId="2" fillId="0" borderId="0" xfId="1" applyFont="1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178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176" fontId="0" fillId="2" borderId="0" xfId="0" applyNumberFormat="1" applyFill="1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Valor Residual vs. Area do terreno</a:t>
            </a:r>
          </a:p>
        </c:rich>
      </c:tx>
      <c:layout>
        <c:manualLayout>
          <c:xMode val="edge"/>
          <c:yMode val="edge"/>
          <c:x val="0.362847222222222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pt-BR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Planilha1!$F$11:$F$18</c:f>
              <c:numCache>
                <c:formatCode>General</c:formatCode>
                <c:ptCount val="8"/>
                <c:pt idx="0">
                  <c:v>460</c:v>
                </c:pt>
                <c:pt idx="1">
                  <c:v>479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612</c:v>
                </c:pt>
                <c:pt idx="6">
                  <c:v>1000</c:v>
                </c:pt>
                <c:pt idx="7">
                  <c:v>1410</c:v>
                </c:pt>
              </c:numCache>
            </c:numRef>
          </c:xVal>
          <c:yVal>
            <c:numRef>
              <c:f>Planilha1!$W$11:$W$18</c:f>
              <c:numCache>
                <c:formatCode>_-* #,##0.00_-;\-* #,##0.00_-;_-* "-"??_-;_-@_-</c:formatCode>
                <c:ptCount val="8"/>
                <c:pt idx="0">
                  <c:v>603000</c:v>
                </c:pt>
                <c:pt idx="1">
                  <c:v>470430</c:v>
                </c:pt>
                <c:pt idx="2">
                  <c:v>642227.83308</c:v>
                </c:pt>
                <c:pt idx="3">
                  <c:v>583294.821408</c:v>
                </c:pt>
                <c:pt idx="4">
                  <c:v>605204.56728</c:v>
                </c:pt>
                <c:pt idx="5">
                  <c:v>535588.92</c:v>
                </c:pt>
                <c:pt idx="6">
                  <c:v>900000</c:v>
                </c:pt>
                <c:pt idx="7">
                  <c:v>1791000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618235"/>
        <c:axId val="902557682"/>
      </c:scatterChart>
      <c:valAx>
        <c:axId val="8786182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557682"/>
        <c:crosses val="autoZero"/>
        <c:crossBetween val="midCat"/>
      </c:valAx>
      <c:valAx>
        <c:axId val="9025576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6182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Valor Residual vs. Area do terreno</a:t>
            </a:r>
          </a:p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(todos os dados)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pt-BR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Planilha1!$F$3:$F$18</c:f>
              <c:numCache>
                <c:formatCode>General</c:formatCode>
                <c:ptCount val="16"/>
                <c:pt idx="0">
                  <c:v>150</c:v>
                </c:pt>
                <c:pt idx="1">
                  <c:v>180</c:v>
                </c:pt>
                <c:pt idx="2">
                  <c:v>182</c:v>
                </c:pt>
                <c:pt idx="3">
                  <c:v>220</c:v>
                </c:pt>
                <c:pt idx="4">
                  <c:v>244</c:v>
                </c:pt>
                <c:pt idx="5">
                  <c:v>268</c:v>
                </c:pt>
                <c:pt idx="6">
                  <c:v>270</c:v>
                </c:pt>
                <c:pt idx="7">
                  <c:v>290</c:v>
                </c:pt>
                <c:pt idx="8">
                  <c:v>460</c:v>
                </c:pt>
                <c:pt idx="9">
                  <c:v>479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612</c:v>
                </c:pt>
                <c:pt idx="14">
                  <c:v>1000</c:v>
                </c:pt>
                <c:pt idx="15">
                  <c:v>1410</c:v>
                </c:pt>
              </c:numCache>
            </c:numRef>
          </c:xVal>
          <c:yVal>
            <c:numRef>
              <c:f>Planilha1!$W$3:$W$18</c:f>
              <c:numCache>
                <c:formatCode>_-* #,##0.00_-;\-* #,##0.00_-;_-* "-"??_-;_-@_-</c:formatCode>
                <c:ptCount val="16"/>
                <c:pt idx="0">
                  <c:v>396306.6264</c:v>
                </c:pt>
                <c:pt idx="1">
                  <c:v>112588.92</c:v>
                </c:pt>
                <c:pt idx="2">
                  <c:v>114118.56</c:v>
                </c:pt>
                <c:pt idx="3">
                  <c:v>106941.69</c:v>
                </c:pt>
                <c:pt idx="4">
                  <c:v>154188.8424</c:v>
                </c:pt>
                <c:pt idx="5">
                  <c:v>1277188.92</c:v>
                </c:pt>
                <c:pt idx="6">
                  <c:v>-36199.224</c:v>
                </c:pt>
                <c:pt idx="7">
                  <c:v>339300</c:v>
                </c:pt>
                <c:pt idx="8">
                  <c:v>603000</c:v>
                </c:pt>
                <c:pt idx="9">
                  <c:v>470430</c:v>
                </c:pt>
                <c:pt idx="10">
                  <c:v>642227.83308</c:v>
                </c:pt>
                <c:pt idx="11">
                  <c:v>583294.821408</c:v>
                </c:pt>
                <c:pt idx="12">
                  <c:v>605204.56728</c:v>
                </c:pt>
                <c:pt idx="13">
                  <c:v>535588.92</c:v>
                </c:pt>
                <c:pt idx="14">
                  <c:v>900000</c:v>
                </c:pt>
                <c:pt idx="15">
                  <c:v>1791000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12430"/>
        <c:axId val="846699772"/>
      </c:scatterChart>
      <c:valAx>
        <c:axId val="4349124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699772"/>
        <c:crosses val="autoZero"/>
        <c:crossBetween val="midCat"/>
      </c:valAx>
      <c:valAx>
        <c:axId val="8466997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91243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VU vs Area do terreno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pt-BR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Planilha1!$F$3:$F$18</c:f>
              <c:numCache>
                <c:formatCode>General</c:formatCode>
                <c:ptCount val="16"/>
                <c:pt idx="0">
                  <c:v>150</c:v>
                </c:pt>
                <c:pt idx="1">
                  <c:v>180</c:v>
                </c:pt>
                <c:pt idx="2">
                  <c:v>182</c:v>
                </c:pt>
                <c:pt idx="3">
                  <c:v>220</c:v>
                </c:pt>
                <c:pt idx="4">
                  <c:v>244</c:v>
                </c:pt>
                <c:pt idx="5">
                  <c:v>268</c:v>
                </c:pt>
                <c:pt idx="6">
                  <c:v>270</c:v>
                </c:pt>
                <c:pt idx="7">
                  <c:v>290</c:v>
                </c:pt>
                <c:pt idx="8">
                  <c:v>460</c:v>
                </c:pt>
                <c:pt idx="9">
                  <c:v>479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612</c:v>
                </c:pt>
                <c:pt idx="14">
                  <c:v>1000</c:v>
                </c:pt>
                <c:pt idx="15">
                  <c:v>1410</c:v>
                </c:pt>
              </c:numCache>
            </c:numRef>
          </c:xVal>
          <c:yVal>
            <c:numRef>
              <c:f>Planilha1!$X$3:$X$18</c:f>
              <c:numCache>
                <c:formatCode>_-* #,##0.00_-;\-* #,##0.00_-;_-* "-"??_-;_-@_-</c:formatCode>
                <c:ptCount val="16"/>
                <c:pt idx="0">
                  <c:v>2642.044176</c:v>
                </c:pt>
                <c:pt idx="1">
                  <c:v>625.494</c:v>
                </c:pt>
                <c:pt idx="2">
                  <c:v>627.025054945055</c:v>
                </c:pt>
                <c:pt idx="3">
                  <c:v>486.098590909091</c:v>
                </c:pt>
                <c:pt idx="4">
                  <c:v>631.921485245902</c:v>
                </c:pt>
                <c:pt idx="5">
                  <c:v>4765.63029850746</c:v>
                </c:pt>
                <c:pt idx="6">
                  <c:v>-134.0712</c:v>
                </c:pt>
                <c:pt idx="7">
                  <c:v>1170</c:v>
                </c:pt>
                <c:pt idx="8">
                  <c:v>1310.86956521739</c:v>
                </c:pt>
                <c:pt idx="9">
                  <c:v>982.108559498956</c:v>
                </c:pt>
                <c:pt idx="10">
                  <c:v>1284.45566616</c:v>
                </c:pt>
                <c:pt idx="11">
                  <c:v>1166.589642816</c:v>
                </c:pt>
                <c:pt idx="12">
                  <c:v>1210.40913456</c:v>
                </c:pt>
                <c:pt idx="13">
                  <c:v>875.145294117647</c:v>
                </c:pt>
                <c:pt idx="14">
                  <c:v>900</c:v>
                </c:pt>
                <c:pt idx="15">
                  <c:v>1270.21276595745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387326"/>
        <c:axId val="277321964"/>
      </c:scatterChart>
      <c:valAx>
        <c:axId val="8683873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321964"/>
        <c:crosses val="autoZero"/>
        <c:crossBetween val="midCat"/>
      </c:valAx>
      <c:valAx>
        <c:axId val="2773219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38732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VU homogeneizado vs. Area do terreno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pt-BR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Planilha1!$F$11:$F$18</c:f>
              <c:numCache>
                <c:formatCode>General</c:formatCode>
                <c:ptCount val="8"/>
                <c:pt idx="0">
                  <c:v>460</c:v>
                </c:pt>
                <c:pt idx="1">
                  <c:v>479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612</c:v>
                </c:pt>
                <c:pt idx="6">
                  <c:v>1000</c:v>
                </c:pt>
                <c:pt idx="7">
                  <c:v>1410</c:v>
                </c:pt>
              </c:numCache>
            </c:numRef>
          </c:xVal>
          <c:yVal>
            <c:numRef>
              <c:f>Planilha1!$Y$11:$Y$18</c:f>
              <c:numCache>
                <c:formatCode>_-* #,##0.00_-;\-* #,##0.00_-;_-* "-"??_-;_-@_-</c:formatCode>
                <c:ptCount val="8"/>
                <c:pt idx="0">
                  <c:v>1379.3963955152</c:v>
                </c:pt>
                <c:pt idx="1">
                  <c:v>1387.85393371233</c:v>
                </c:pt>
                <c:pt idx="2">
                  <c:v>2541.97560174329</c:v>
                </c:pt>
                <c:pt idx="3">
                  <c:v>2308.715269364</c:v>
                </c:pt>
                <c:pt idx="4">
                  <c:v>2395.43533439127</c:v>
                </c:pt>
                <c:pt idx="5">
                  <c:v>1660.67605632099</c:v>
                </c:pt>
                <c:pt idx="6">
                  <c:v>1550.59156920652</c:v>
                </c:pt>
                <c:pt idx="7">
                  <c:v>1966.62361596082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705958"/>
        <c:axId val="49571892"/>
      </c:scatterChart>
      <c:valAx>
        <c:axId val="7297059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71892"/>
        <c:crosses val="autoZero"/>
        <c:crossBetween val="midCat"/>
      </c:valAx>
      <c:valAx>
        <c:axId val="495718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70595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VU homogeneizado vs. Area do terreno</a:t>
            </a:r>
          </a:p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(todos os dados)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916666666666667"/>
                  <c:y val="0.3388888888888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pt-BR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Planilha1!$F$3:$F$16</c:f>
              <c:numCache>
                <c:formatCode>General</c:formatCode>
                <c:ptCount val="14"/>
                <c:pt idx="0">
                  <c:v>150</c:v>
                </c:pt>
                <c:pt idx="1">
                  <c:v>180</c:v>
                </c:pt>
                <c:pt idx="2">
                  <c:v>182</c:v>
                </c:pt>
                <c:pt idx="3">
                  <c:v>220</c:v>
                </c:pt>
                <c:pt idx="4">
                  <c:v>244</c:v>
                </c:pt>
                <c:pt idx="5">
                  <c:v>268</c:v>
                </c:pt>
                <c:pt idx="6">
                  <c:v>270</c:v>
                </c:pt>
                <c:pt idx="7">
                  <c:v>290</c:v>
                </c:pt>
                <c:pt idx="8">
                  <c:v>460</c:v>
                </c:pt>
                <c:pt idx="9">
                  <c:v>479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612</c:v>
                </c:pt>
              </c:numCache>
            </c:numRef>
          </c:xVal>
          <c:yVal>
            <c:numRef>
              <c:f>Planilha1!$Y$3:$Y$16</c:f>
              <c:numCache>
                <c:formatCode>_-* #,##0.00_-;\-* #,##0.00_-;_-* "-"??_-;_-@_-</c:formatCode>
                <c:ptCount val="14"/>
                <c:pt idx="1">
                  <c:v>1452.77541599256</c:v>
                </c:pt>
                <c:pt idx="2">
                  <c:v>1433.08812559237</c:v>
                </c:pt>
                <c:pt idx="3">
                  <c:v>1034.8625926646</c:v>
                </c:pt>
                <c:pt idx="4">
                  <c:v>1359.80697308655</c:v>
                </c:pt>
                <c:pt idx="7">
                  <c:v>2407.81364029874</c:v>
                </c:pt>
                <c:pt idx="8">
                  <c:v>1379.3963955152</c:v>
                </c:pt>
                <c:pt idx="9">
                  <c:v>1387.85393371233</c:v>
                </c:pt>
                <c:pt idx="10">
                  <c:v>2541.97560174329</c:v>
                </c:pt>
                <c:pt idx="11">
                  <c:v>2308.715269364</c:v>
                </c:pt>
                <c:pt idx="12">
                  <c:v>2395.43533439127</c:v>
                </c:pt>
                <c:pt idx="13">
                  <c:v>1660.67605632099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724860"/>
        <c:axId val="994015730"/>
      </c:scatterChart>
      <c:valAx>
        <c:axId val="8647248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015730"/>
        <c:crosses val="autoZero"/>
        <c:crossBetween val="midCat"/>
      </c:valAx>
      <c:valAx>
        <c:axId val="994015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7248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193040</xdr:colOff>
      <xdr:row>24</xdr:row>
      <xdr:rowOff>101600</xdr:rowOff>
    </xdr:from>
    <xdr:to>
      <xdr:col>7</xdr:col>
      <xdr:colOff>490220</xdr:colOff>
      <xdr:row>40</xdr:row>
      <xdr:rowOff>40640</xdr:rowOff>
    </xdr:to>
    <xdr:graphicFrame>
      <xdr:nvGraphicFramePr>
        <xdr:cNvPr id="4" name="Gráfico 3"/>
        <xdr:cNvGraphicFramePr/>
      </xdr:nvGraphicFramePr>
      <xdr:xfrm>
        <a:off x="802640" y="430784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261620</xdr:colOff>
      <xdr:row>24</xdr:row>
      <xdr:rowOff>48260</xdr:rowOff>
    </xdr:from>
    <xdr:to>
      <xdr:col>14</xdr:col>
      <xdr:colOff>307340</xdr:colOff>
      <xdr:row>39</xdr:row>
      <xdr:rowOff>162560</xdr:rowOff>
    </xdr:to>
    <xdr:graphicFrame>
      <xdr:nvGraphicFramePr>
        <xdr:cNvPr id="6" name="Gráfico 5"/>
        <xdr:cNvGraphicFramePr/>
      </xdr:nvGraphicFramePr>
      <xdr:xfrm>
        <a:off x="5877560" y="4254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581660</xdr:colOff>
      <xdr:row>24</xdr:row>
      <xdr:rowOff>40640</xdr:rowOff>
    </xdr:from>
    <xdr:to>
      <xdr:col>20</xdr:col>
      <xdr:colOff>787400</xdr:colOff>
      <xdr:row>39</xdr:row>
      <xdr:rowOff>154940</xdr:rowOff>
    </xdr:to>
    <xdr:graphicFrame>
      <xdr:nvGraphicFramePr>
        <xdr:cNvPr id="7" name="Gráfico 6"/>
        <xdr:cNvGraphicFramePr/>
      </xdr:nvGraphicFramePr>
      <xdr:xfrm>
        <a:off x="10723880" y="424688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269240</xdr:colOff>
      <xdr:row>24</xdr:row>
      <xdr:rowOff>48260</xdr:rowOff>
    </xdr:from>
    <xdr:to>
      <xdr:col>26</xdr:col>
      <xdr:colOff>482600</xdr:colOff>
      <xdr:row>39</xdr:row>
      <xdr:rowOff>162560</xdr:rowOff>
    </xdr:to>
    <xdr:graphicFrame>
      <xdr:nvGraphicFramePr>
        <xdr:cNvPr id="8" name="Gráfico 7"/>
        <xdr:cNvGraphicFramePr/>
      </xdr:nvGraphicFramePr>
      <xdr:xfrm>
        <a:off x="15577820" y="4254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38100</xdr:colOff>
      <xdr:row>2</xdr:row>
      <xdr:rowOff>40640</xdr:rowOff>
    </xdr:from>
    <xdr:to>
      <xdr:col>35</xdr:col>
      <xdr:colOff>342900</xdr:colOff>
      <xdr:row>17</xdr:row>
      <xdr:rowOff>154940</xdr:rowOff>
    </xdr:to>
    <xdr:graphicFrame>
      <xdr:nvGraphicFramePr>
        <xdr:cNvPr id="10" name="Gráfico 9"/>
        <xdr:cNvGraphicFramePr/>
      </xdr:nvGraphicFramePr>
      <xdr:xfrm>
        <a:off x="20924520" y="3911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tabSelected="1" workbookViewId="0">
      <selection activeCell="N11" sqref="N11:N18"/>
    </sheetView>
  </sheetViews>
  <sheetFormatPr defaultColWidth="8.88888888888889" defaultRowHeight="13.8"/>
  <cols>
    <col min="5" max="5" width="13.2222222222222" style="2"/>
    <col min="7" max="7" width="13.5555555555556" customWidth="1"/>
    <col min="8" max="8" width="10.6666666666667" customWidth="1"/>
    <col min="9" max="9" width="12.8888888888889"/>
    <col min="11" max="11" width="13.5555555555556" customWidth="1"/>
    <col min="12" max="12" width="12.8888888888889" style="2"/>
    <col min="13" max="16" width="8.88888888888889" style="2"/>
    <col min="17" max="17" width="14.1111111111111" customWidth="1"/>
    <col min="18" max="19" width="11.4444444444444" customWidth="1"/>
    <col min="21" max="21" width="11.6666666666667" customWidth="1"/>
    <col min="22" max="22" width="18.2222222222222" customWidth="1"/>
    <col min="23" max="24" width="13.2222222222222"/>
    <col min="25" max="25" width="9.44444444444444" customWidth="1"/>
    <col min="26" max="26" width="9.44444444444444"/>
  </cols>
  <sheetData>
    <row r="1" spans="1:26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/>
      <c r="H1" s="3"/>
      <c r="I1" s="3"/>
      <c r="K1" s="5" t="s">
        <v>6</v>
      </c>
      <c r="L1" s="5"/>
      <c r="M1" s="5"/>
      <c r="N1" s="5"/>
      <c r="O1" s="5"/>
      <c r="P1" s="12"/>
      <c r="Q1" s="3" t="s">
        <v>7</v>
      </c>
      <c r="R1" s="3"/>
      <c r="S1" s="3"/>
      <c r="T1" s="3"/>
      <c r="U1" s="3"/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</row>
    <row r="2" spans="2:24">
      <c r="B2" s="6"/>
      <c r="C2"/>
      <c r="D2"/>
      <c r="E2" s="7"/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13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/>
      <c r="W2"/>
      <c r="X2" s="3"/>
    </row>
    <row r="3" spans="1:25">
      <c r="A3">
        <v>1</v>
      </c>
      <c r="B3">
        <v>1800</v>
      </c>
      <c r="C3">
        <v>450000</v>
      </c>
      <c r="D3" t="s">
        <v>28</v>
      </c>
      <c r="E3" s="2">
        <f>IF(D3="S",0.9,1)*C3</f>
        <v>450000</v>
      </c>
      <c r="F3">
        <v>150</v>
      </c>
      <c r="G3" s="8">
        <f>$F$19/F3</f>
        <v>5.8784</v>
      </c>
      <c r="H3" s="9">
        <v>5</v>
      </c>
      <c r="I3" s="8">
        <f>F3/H3</f>
        <v>30</v>
      </c>
      <c r="J3" s="9">
        <v>0</v>
      </c>
      <c r="K3" s="8">
        <f>($F$19/F3)^0.2</f>
        <v>1.42512128618038</v>
      </c>
      <c r="L3" s="13">
        <f>$B$19/B3</f>
        <v>0.866666666666667</v>
      </c>
      <c r="M3" s="13">
        <f>($H$19/H3)^0.15</f>
        <v>1.24887192161133</v>
      </c>
      <c r="N3" s="13">
        <f>IF(I3&lt;0.5*$D$22,0.5^$F$22,IF(I3&lt;$D$22,($D$22/I3)^$F$22,IF(I3&lt;$E$22,1,1/($E$22/I3+(1-$E$22/I3)*($E$22/I3)^$F$22))))</f>
        <v>1</v>
      </c>
      <c r="O3" s="13">
        <v>1</v>
      </c>
      <c r="P3" s="13">
        <f t="shared" ref="P3:P10" si="0">(1+K3+L3+M3+N3+O3-5)</f>
        <v>1.54065987445837</v>
      </c>
      <c r="Q3" s="9">
        <v>163</v>
      </c>
      <c r="R3" s="16" t="s">
        <v>29</v>
      </c>
      <c r="S3" s="9">
        <v>1.2</v>
      </c>
      <c r="T3" s="9">
        <v>20</v>
      </c>
      <c r="U3" s="9">
        <v>0.2</v>
      </c>
      <c r="V3" s="13">
        <f>$A$22*Q3*S3*U3</f>
        <v>53693.3736</v>
      </c>
      <c r="W3" s="17">
        <f t="shared" ref="W3:W10" si="1">E3-V3</f>
        <v>396306.6264</v>
      </c>
      <c r="X3" s="17">
        <f>W3/F3</f>
        <v>2642.044176</v>
      </c>
      <c r="Y3" s="17"/>
    </row>
    <row r="4" spans="1:25">
      <c r="A4">
        <v>2</v>
      </c>
      <c r="B4">
        <v>900</v>
      </c>
      <c r="C4">
        <v>180000</v>
      </c>
      <c r="D4" t="s">
        <v>30</v>
      </c>
      <c r="E4" s="2">
        <f t="shared" ref="E4:E18" si="2">IF(D4="S",0.9,1)*C4</f>
        <v>162000</v>
      </c>
      <c r="F4">
        <v>180</v>
      </c>
      <c r="G4" s="8">
        <f t="shared" ref="G4:G18" si="3">$F$19/F4</f>
        <v>4.89866666666667</v>
      </c>
      <c r="H4" s="9">
        <v>6</v>
      </c>
      <c r="I4" s="8">
        <f t="shared" ref="I4:I19" si="4">F4/H4</f>
        <v>30</v>
      </c>
      <c r="J4" s="9">
        <v>0</v>
      </c>
      <c r="K4" s="8">
        <f t="shared" ref="K4:K18" si="5">($F$19/F4)^0.2</f>
        <v>1.3740912614297</v>
      </c>
      <c r="L4" s="13">
        <f t="shared" ref="L4:L18" si="6">$B$19/B4</f>
        <v>1.73333333333333</v>
      </c>
      <c r="M4" s="13">
        <f t="shared" ref="M4:M18" si="7">($H$19/H4)^0.15</f>
        <v>1.21518028392895</v>
      </c>
      <c r="N4" s="13">
        <f t="shared" ref="N4:N18" si="8">IF(I4&lt;0.5*$D$22,0.5^$F$22,IF(I4&lt;$D$22,($D$22/I4)^$F$22,IF(I4&lt;$E$22,1,1/($E$22/I4+(1-$E$22/I4)*($E$22/I4)^$F$22))))</f>
        <v>1</v>
      </c>
      <c r="O4" s="13">
        <v>1</v>
      </c>
      <c r="P4" s="13">
        <f t="shared" si="0"/>
        <v>2.32260487869198</v>
      </c>
      <c r="Q4" s="9">
        <v>150</v>
      </c>
      <c r="R4" s="16" t="s">
        <v>29</v>
      </c>
      <c r="S4" s="9">
        <v>1.2</v>
      </c>
      <c r="T4" s="9">
        <v>25</v>
      </c>
      <c r="U4" s="9">
        <v>0.2</v>
      </c>
      <c r="V4" s="13">
        <f t="shared" ref="V4:V18" si="9">$A$22*Q4*S4*U4</f>
        <v>49411.08</v>
      </c>
      <c r="W4" s="17">
        <f t="shared" si="1"/>
        <v>112588.92</v>
      </c>
      <c r="X4" s="17">
        <f t="shared" ref="X4:X18" si="10">W4/F4</f>
        <v>625.494</v>
      </c>
      <c r="Y4" s="17">
        <f t="shared" ref="Y3:Y10" si="11">X4*P4</f>
        <v>1452.77541599256</v>
      </c>
    </row>
    <row r="5" spans="1:25">
      <c r="A5">
        <v>3</v>
      </c>
      <c r="B5">
        <v>900</v>
      </c>
      <c r="C5">
        <v>200000</v>
      </c>
      <c r="D5" t="s">
        <v>30</v>
      </c>
      <c r="E5" s="2">
        <f t="shared" si="2"/>
        <v>180000</v>
      </c>
      <c r="F5">
        <v>182</v>
      </c>
      <c r="G5" s="8">
        <f t="shared" si="3"/>
        <v>4.84483516483516</v>
      </c>
      <c r="H5" s="9">
        <v>5.5</v>
      </c>
      <c r="I5" s="8">
        <f t="shared" si="4"/>
        <v>33.0909090909091</v>
      </c>
      <c r="J5" s="9">
        <v>33</v>
      </c>
      <c r="K5" s="8">
        <f t="shared" si="5"/>
        <v>1.37105791779045</v>
      </c>
      <c r="L5" s="13">
        <f t="shared" si="6"/>
        <v>1.73333333333333</v>
      </c>
      <c r="M5" s="13">
        <f t="shared" si="7"/>
        <v>1.23114441334492</v>
      </c>
      <c r="N5" s="13">
        <f t="shared" si="8"/>
        <v>1</v>
      </c>
      <c r="O5" s="13">
        <v>0.95</v>
      </c>
      <c r="P5" s="13">
        <f t="shared" si="0"/>
        <v>2.2855356644687</v>
      </c>
      <c r="Q5" s="9">
        <v>200</v>
      </c>
      <c r="R5" s="16" t="s">
        <v>29</v>
      </c>
      <c r="S5" s="9">
        <v>1.2</v>
      </c>
      <c r="T5" s="9">
        <v>20</v>
      </c>
      <c r="U5" s="9">
        <v>0.2</v>
      </c>
      <c r="V5" s="13">
        <f t="shared" si="9"/>
        <v>65881.44</v>
      </c>
      <c r="W5" s="17">
        <f t="shared" si="1"/>
        <v>114118.56</v>
      </c>
      <c r="X5" s="17">
        <f t="shared" si="10"/>
        <v>627.025054945055</v>
      </c>
      <c r="Y5" s="17">
        <f t="shared" si="11"/>
        <v>1433.08812559237</v>
      </c>
    </row>
    <row r="6" spans="1:25">
      <c r="A6">
        <v>4</v>
      </c>
      <c r="B6">
        <v>900</v>
      </c>
      <c r="C6">
        <v>160000</v>
      </c>
      <c r="D6" t="s">
        <v>30</v>
      </c>
      <c r="E6" s="2">
        <f t="shared" si="2"/>
        <v>144000</v>
      </c>
      <c r="F6">
        <v>220</v>
      </c>
      <c r="G6" s="8">
        <f t="shared" si="3"/>
        <v>4.008</v>
      </c>
      <c r="H6" s="9">
        <v>10</v>
      </c>
      <c r="I6" s="8">
        <f t="shared" si="4"/>
        <v>22</v>
      </c>
      <c r="J6" s="9">
        <v>22</v>
      </c>
      <c r="K6" s="8">
        <f t="shared" si="5"/>
        <v>1.32003529220065</v>
      </c>
      <c r="L6" s="13">
        <f t="shared" si="6"/>
        <v>1.73333333333333</v>
      </c>
      <c r="M6" s="13">
        <f t="shared" si="7"/>
        <v>1.12554639709388</v>
      </c>
      <c r="N6" s="13">
        <f t="shared" si="8"/>
        <v>1</v>
      </c>
      <c r="O6" s="13">
        <v>0.95</v>
      </c>
      <c r="P6" s="13">
        <f t="shared" si="0"/>
        <v>2.12891502262787</v>
      </c>
      <c r="Q6" s="9">
        <v>150</v>
      </c>
      <c r="R6" s="16" t="s">
        <v>31</v>
      </c>
      <c r="S6" s="9">
        <v>0.9</v>
      </c>
      <c r="T6" s="9">
        <v>35</v>
      </c>
      <c r="U6" s="9">
        <v>0.2</v>
      </c>
      <c r="V6" s="13">
        <f t="shared" si="9"/>
        <v>37058.31</v>
      </c>
      <c r="W6" s="17">
        <f t="shared" si="1"/>
        <v>106941.69</v>
      </c>
      <c r="X6" s="17">
        <f t="shared" si="10"/>
        <v>486.098590909091</v>
      </c>
      <c r="Y6" s="17">
        <f t="shared" si="11"/>
        <v>1034.8625926646</v>
      </c>
    </row>
    <row r="7" spans="1:25">
      <c r="A7">
        <v>5</v>
      </c>
      <c r="B7">
        <v>900</v>
      </c>
      <c r="C7">
        <v>220000</v>
      </c>
      <c r="D7" t="s">
        <v>30</v>
      </c>
      <c r="E7" s="2">
        <f t="shared" si="2"/>
        <v>198000</v>
      </c>
      <c r="F7">
        <v>244</v>
      </c>
      <c r="G7" s="8">
        <f t="shared" si="3"/>
        <v>3.61377049180328</v>
      </c>
      <c r="H7" s="9">
        <v>10</v>
      </c>
      <c r="I7" s="8">
        <f t="shared" si="4"/>
        <v>24.4</v>
      </c>
      <c r="J7" s="9">
        <v>0</v>
      </c>
      <c r="K7" s="8">
        <f t="shared" si="5"/>
        <v>1.29298091181286</v>
      </c>
      <c r="L7" s="13">
        <f t="shared" si="6"/>
        <v>1.73333333333333</v>
      </c>
      <c r="M7" s="13">
        <f t="shared" si="7"/>
        <v>1.12554639709388</v>
      </c>
      <c r="N7" s="13">
        <f t="shared" si="8"/>
        <v>1</v>
      </c>
      <c r="O7" s="13">
        <v>1</v>
      </c>
      <c r="P7" s="13">
        <f t="shared" si="0"/>
        <v>2.15186064224008</v>
      </c>
      <c r="Q7" s="9">
        <v>133</v>
      </c>
      <c r="R7" s="16" t="s">
        <v>29</v>
      </c>
      <c r="S7" s="9">
        <v>1.2</v>
      </c>
      <c r="T7" s="9">
        <v>5</v>
      </c>
      <c r="U7" s="9">
        <v>0.2</v>
      </c>
      <c r="V7" s="13">
        <f t="shared" si="9"/>
        <v>43811.1576</v>
      </c>
      <c r="W7" s="17">
        <f t="shared" si="1"/>
        <v>154188.8424</v>
      </c>
      <c r="X7" s="17">
        <f t="shared" si="10"/>
        <v>631.921485245902</v>
      </c>
      <c r="Y7" s="17">
        <f t="shared" si="11"/>
        <v>1359.80697308655</v>
      </c>
    </row>
    <row r="8" spans="1:25">
      <c r="A8">
        <v>6</v>
      </c>
      <c r="B8">
        <v>1425</v>
      </c>
      <c r="C8">
        <v>1474000</v>
      </c>
      <c r="D8" t="s">
        <v>30</v>
      </c>
      <c r="E8" s="2">
        <f t="shared" si="2"/>
        <v>1326600</v>
      </c>
      <c r="F8">
        <v>268</v>
      </c>
      <c r="G8" s="8">
        <f t="shared" si="3"/>
        <v>3.29014925373134</v>
      </c>
      <c r="H8" s="9">
        <v>11</v>
      </c>
      <c r="I8" s="8">
        <f t="shared" si="4"/>
        <v>24.3636363636364</v>
      </c>
      <c r="J8" s="9">
        <v>0</v>
      </c>
      <c r="K8" s="8">
        <f t="shared" si="5"/>
        <v>1.26894593818896</v>
      </c>
      <c r="L8" s="13">
        <f t="shared" si="6"/>
        <v>1.09473684210526</v>
      </c>
      <c r="M8" s="13">
        <f t="shared" si="7"/>
        <v>1.10956947206785</v>
      </c>
      <c r="N8" s="13">
        <f t="shared" si="8"/>
        <v>1</v>
      </c>
      <c r="O8" s="13">
        <v>1</v>
      </c>
      <c r="P8" s="13">
        <f t="shared" si="0"/>
        <v>1.47325225236207</v>
      </c>
      <c r="Q8" s="9">
        <v>150</v>
      </c>
      <c r="R8" s="16" t="s">
        <v>29</v>
      </c>
      <c r="S8" s="9">
        <v>1.2</v>
      </c>
      <c r="T8" s="9">
        <v>25</v>
      </c>
      <c r="U8" s="9">
        <v>0.2</v>
      </c>
      <c r="V8" s="13">
        <f t="shared" si="9"/>
        <v>49411.08</v>
      </c>
      <c r="W8" s="17">
        <f t="shared" si="1"/>
        <v>1277188.92</v>
      </c>
      <c r="X8" s="17">
        <f>W8/F8</f>
        <v>4765.63029850746</v>
      </c>
      <c r="Y8" s="17"/>
    </row>
    <row r="9" spans="1:25">
      <c r="A9">
        <v>7</v>
      </c>
      <c r="B9">
        <v>900</v>
      </c>
      <c r="C9">
        <v>22000</v>
      </c>
      <c r="D9" t="s">
        <v>30</v>
      </c>
      <c r="E9" s="2">
        <f t="shared" si="2"/>
        <v>19800</v>
      </c>
      <c r="F9">
        <v>270</v>
      </c>
      <c r="G9" s="8">
        <f t="shared" si="3"/>
        <v>3.26577777777778</v>
      </c>
      <c r="H9" s="9">
        <v>10</v>
      </c>
      <c r="I9" s="8">
        <f t="shared" si="4"/>
        <v>27</v>
      </c>
      <c r="J9" s="9">
        <v>0</v>
      </c>
      <c r="K9" s="8">
        <f t="shared" si="5"/>
        <v>1.26706042326223</v>
      </c>
      <c r="L9" s="13">
        <f t="shared" si="6"/>
        <v>1.73333333333333</v>
      </c>
      <c r="M9" s="13">
        <f t="shared" si="7"/>
        <v>1.12554639709388</v>
      </c>
      <c r="N9" s="13">
        <f t="shared" si="8"/>
        <v>1</v>
      </c>
      <c r="O9" s="13">
        <v>1</v>
      </c>
      <c r="P9" s="13">
        <f t="shared" si="0"/>
        <v>2.12594015368945</v>
      </c>
      <c r="Q9" s="9">
        <v>170</v>
      </c>
      <c r="R9" s="16" t="s">
        <v>29</v>
      </c>
      <c r="S9" s="9">
        <v>1.2</v>
      </c>
      <c r="T9" s="9">
        <v>30</v>
      </c>
      <c r="U9" s="9">
        <v>0.2</v>
      </c>
      <c r="V9" s="13">
        <f t="shared" si="9"/>
        <v>55999.224</v>
      </c>
      <c r="W9" s="17">
        <f t="shared" si="1"/>
        <v>-36199.224</v>
      </c>
      <c r="X9" s="17">
        <f>W9/F9</f>
        <v>-134.0712</v>
      </c>
      <c r="Y9" s="17"/>
    </row>
    <row r="10" spans="1:25">
      <c r="A10">
        <v>8</v>
      </c>
      <c r="B10">
        <v>900</v>
      </c>
      <c r="C10">
        <v>377000</v>
      </c>
      <c r="D10" t="s">
        <v>30</v>
      </c>
      <c r="E10" s="2">
        <f t="shared" si="2"/>
        <v>339300</v>
      </c>
      <c r="F10">
        <v>290</v>
      </c>
      <c r="G10" s="8">
        <f t="shared" si="3"/>
        <v>3.04055172413793</v>
      </c>
      <c r="H10" s="9">
        <v>10</v>
      </c>
      <c r="I10" s="8">
        <f t="shared" si="4"/>
        <v>29</v>
      </c>
      <c r="J10" s="9">
        <v>29</v>
      </c>
      <c r="K10" s="8">
        <f t="shared" si="5"/>
        <v>1.24908064589649</v>
      </c>
      <c r="L10" s="13">
        <f t="shared" si="6"/>
        <v>1.73333333333333</v>
      </c>
      <c r="M10" s="13">
        <f t="shared" si="7"/>
        <v>1.12554639709388</v>
      </c>
      <c r="N10" s="13">
        <f t="shared" si="8"/>
        <v>1</v>
      </c>
      <c r="O10" s="13">
        <v>0.95</v>
      </c>
      <c r="P10" s="13">
        <f t="shared" si="0"/>
        <v>2.05796037632371</v>
      </c>
      <c r="Q10" s="9">
        <v>0</v>
      </c>
      <c r="R10" s="9"/>
      <c r="S10" s="9"/>
      <c r="T10" s="9"/>
      <c r="U10" s="9"/>
      <c r="V10" s="13">
        <f t="shared" si="9"/>
        <v>0</v>
      </c>
      <c r="W10" s="17">
        <f t="shared" si="1"/>
        <v>339300</v>
      </c>
      <c r="X10" s="17">
        <f t="shared" si="10"/>
        <v>1170</v>
      </c>
      <c r="Y10" s="17">
        <f t="shared" si="11"/>
        <v>2407.81364029874</v>
      </c>
    </row>
    <row r="11" spans="1:26">
      <c r="A11">
        <v>9</v>
      </c>
      <c r="B11">
        <v>1800</v>
      </c>
      <c r="C11">
        <v>670000</v>
      </c>
      <c r="D11" t="s">
        <v>30</v>
      </c>
      <c r="E11" s="2">
        <f t="shared" si="2"/>
        <v>603000</v>
      </c>
      <c r="F11">
        <v>460</v>
      </c>
      <c r="G11" s="10">
        <f t="shared" si="3"/>
        <v>1.91686956521739</v>
      </c>
      <c r="H11">
        <v>30</v>
      </c>
      <c r="I11" s="10">
        <f t="shared" si="4"/>
        <v>15.3333333333333</v>
      </c>
      <c r="J11">
        <v>15.33</v>
      </c>
      <c r="K11" s="14">
        <f t="shared" si="5"/>
        <v>1.1389863317008</v>
      </c>
      <c r="L11" s="15">
        <f t="shared" si="6"/>
        <v>0.866666666666667</v>
      </c>
      <c r="M11" s="15">
        <f t="shared" si="7"/>
        <v>0.954542377467489</v>
      </c>
      <c r="N11" s="15">
        <f t="shared" si="8"/>
        <v>1.14208048144032</v>
      </c>
      <c r="O11" s="15">
        <v>0.95</v>
      </c>
      <c r="P11" s="15">
        <f>(1+K11+L11+M11+N11+O11-5)</f>
        <v>1.05227585727528</v>
      </c>
      <c r="Q11">
        <v>0</v>
      </c>
      <c r="V11" s="2">
        <f t="shared" si="9"/>
        <v>0</v>
      </c>
      <c r="W11" s="18">
        <f>E11-V11</f>
        <v>603000</v>
      </c>
      <c r="X11" s="19">
        <f t="shared" si="10"/>
        <v>1310.86956521739</v>
      </c>
      <c r="Y11" s="18">
        <f>X11*P11</f>
        <v>1379.3963955152</v>
      </c>
      <c r="Z11" s="18">
        <f>Y11</f>
        <v>1379.3963955152</v>
      </c>
    </row>
    <row r="12" spans="1:26">
      <c r="A12">
        <v>10</v>
      </c>
      <c r="B12">
        <v>1170</v>
      </c>
      <c r="C12">
        <v>522700</v>
      </c>
      <c r="D12" t="s">
        <v>30</v>
      </c>
      <c r="E12" s="2">
        <f t="shared" si="2"/>
        <v>470430</v>
      </c>
      <c r="F12">
        <v>479</v>
      </c>
      <c r="G12" s="10">
        <f t="shared" si="3"/>
        <v>1.84083507306889</v>
      </c>
      <c r="H12">
        <v>22</v>
      </c>
      <c r="I12" s="10">
        <f t="shared" si="4"/>
        <v>21.7727272727273</v>
      </c>
      <c r="J12">
        <v>21.77</v>
      </c>
      <c r="K12" s="14">
        <f t="shared" si="5"/>
        <v>1.12980365675702</v>
      </c>
      <c r="L12" s="15">
        <f t="shared" si="6"/>
        <v>1.33333333333333</v>
      </c>
      <c r="M12" s="15">
        <f t="shared" si="7"/>
        <v>1</v>
      </c>
      <c r="N12" s="15">
        <f t="shared" si="8"/>
        <v>1</v>
      </c>
      <c r="O12" s="15">
        <v>0.95</v>
      </c>
      <c r="P12" s="15">
        <f t="shared" ref="P12:P18" si="12">(1+K12+L12+M12+N12+O12-5)</f>
        <v>1.41313699009035</v>
      </c>
      <c r="Q12">
        <v>0</v>
      </c>
      <c r="V12" s="2">
        <f t="shared" si="9"/>
        <v>0</v>
      </c>
      <c r="W12" s="18">
        <f t="shared" ref="W11:W18" si="13">E12-V12</f>
        <v>470430</v>
      </c>
      <c r="X12" s="19">
        <f t="shared" si="10"/>
        <v>982.108559498956</v>
      </c>
      <c r="Y12" s="18">
        <f>X12*P12</f>
        <v>1387.85393371233</v>
      </c>
      <c r="Z12" s="18">
        <f>Y12</f>
        <v>1387.85393371233</v>
      </c>
    </row>
    <row r="13" spans="1:25">
      <c r="A13">
        <v>11</v>
      </c>
      <c r="B13">
        <v>900</v>
      </c>
      <c r="C13">
        <v>870000</v>
      </c>
      <c r="D13" t="s">
        <v>30</v>
      </c>
      <c r="E13" s="2">
        <f t="shared" si="2"/>
        <v>783000</v>
      </c>
      <c r="F13">
        <v>500</v>
      </c>
      <c r="G13" s="10">
        <f t="shared" si="3"/>
        <v>1.76352</v>
      </c>
      <c r="H13">
        <v>10</v>
      </c>
      <c r="I13" s="10">
        <f t="shared" si="4"/>
        <v>50</v>
      </c>
      <c r="J13">
        <v>0</v>
      </c>
      <c r="K13" s="14">
        <f t="shared" si="5"/>
        <v>1.1201497282872</v>
      </c>
      <c r="L13" s="15">
        <f t="shared" si="6"/>
        <v>1.73333333333333</v>
      </c>
      <c r="M13" s="15">
        <f t="shared" si="7"/>
        <v>1.12554639709388</v>
      </c>
      <c r="N13" s="15">
        <f t="shared" si="8"/>
        <v>1</v>
      </c>
      <c r="O13" s="15">
        <v>1</v>
      </c>
      <c r="P13" s="15">
        <f t="shared" si="12"/>
        <v>1.97902945871442</v>
      </c>
      <c r="Q13">
        <v>370</v>
      </c>
      <c r="R13" t="s">
        <v>32</v>
      </c>
      <c r="S13">
        <v>1.386</v>
      </c>
      <c r="T13">
        <v>25</v>
      </c>
      <c r="U13">
        <v>0.2</v>
      </c>
      <c r="V13" s="2">
        <f t="shared" si="9"/>
        <v>140772.16692</v>
      </c>
      <c r="W13" s="18">
        <f t="shared" si="13"/>
        <v>642227.83308</v>
      </c>
      <c r="X13" s="19">
        <f t="shared" si="10"/>
        <v>1284.45566616</v>
      </c>
      <c r="Y13" s="18">
        <f t="shared" ref="Y13:Y18" si="14">X13*P13</f>
        <v>2541.97560174329</v>
      </c>
    </row>
    <row r="14" spans="1:26">
      <c r="A14">
        <v>12</v>
      </c>
      <c r="B14">
        <v>900</v>
      </c>
      <c r="C14">
        <v>780000</v>
      </c>
      <c r="D14" t="s">
        <v>30</v>
      </c>
      <c r="E14" s="2">
        <f t="shared" si="2"/>
        <v>702000</v>
      </c>
      <c r="F14">
        <v>500</v>
      </c>
      <c r="G14" s="10">
        <f t="shared" si="3"/>
        <v>1.76352</v>
      </c>
      <c r="H14">
        <v>10</v>
      </c>
      <c r="I14" s="10">
        <f t="shared" si="4"/>
        <v>50</v>
      </c>
      <c r="J14">
        <v>0</v>
      </c>
      <c r="K14" s="14">
        <f t="shared" si="5"/>
        <v>1.1201497282872</v>
      </c>
      <c r="L14" s="15">
        <f t="shared" si="6"/>
        <v>1.73333333333333</v>
      </c>
      <c r="M14" s="15">
        <f t="shared" si="7"/>
        <v>1.12554639709388</v>
      </c>
      <c r="N14" s="15">
        <f t="shared" si="8"/>
        <v>1</v>
      </c>
      <c r="O14" s="15">
        <v>1</v>
      </c>
      <c r="P14" s="15">
        <f t="shared" si="12"/>
        <v>1.97902945871442</v>
      </c>
      <c r="Q14">
        <v>312</v>
      </c>
      <c r="R14" t="s">
        <v>32</v>
      </c>
      <c r="S14">
        <v>1.386</v>
      </c>
      <c r="T14">
        <v>30</v>
      </c>
      <c r="U14">
        <v>0.2</v>
      </c>
      <c r="V14" s="2">
        <f t="shared" si="9"/>
        <v>118705.178592</v>
      </c>
      <c r="W14" s="18">
        <f t="shared" si="13"/>
        <v>583294.821408</v>
      </c>
      <c r="X14" s="19">
        <f t="shared" si="10"/>
        <v>1166.589642816</v>
      </c>
      <c r="Y14" s="18">
        <f t="shared" si="14"/>
        <v>2308.715269364</v>
      </c>
      <c r="Z14" s="18">
        <f>Y14</f>
        <v>2308.715269364</v>
      </c>
    </row>
    <row r="15" spans="1:26">
      <c r="A15">
        <v>13</v>
      </c>
      <c r="B15">
        <v>900</v>
      </c>
      <c r="C15">
        <v>850000</v>
      </c>
      <c r="D15" t="s">
        <v>30</v>
      </c>
      <c r="E15" s="2">
        <f t="shared" si="2"/>
        <v>765000</v>
      </c>
      <c r="F15">
        <v>500</v>
      </c>
      <c r="G15" s="10">
        <f t="shared" si="3"/>
        <v>1.76352</v>
      </c>
      <c r="H15">
        <v>10</v>
      </c>
      <c r="I15" s="10">
        <f t="shared" si="4"/>
        <v>50</v>
      </c>
      <c r="J15">
        <v>0</v>
      </c>
      <c r="K15" s="14">
        <f t="shared" si="5"/>
        <v>1.1201497282872</v>
      </c>
      <c r="L15" s="15">
        <f t="shared" si="6"/>
        <v>1.73333333333333</v>
      </c>
      <c r="M15" s="15">
        <f t="shared" si="7"/>
        <v>1.12554639709388</v>
      </c>
      <c r="N15" s="15">
        <f t="shared" si="8"/>
        <v>1</v>
      </c>
      <c r="O15" s="15">
        <v>1</v>
      </c>
      <c r="P15" s="15">
        <f t="shared" si="12"/>
        <v>1.97902945871442</v>
      </c>
      <c r="Q15">
        <v>420</v>
      </c>
      <c r="R15" t="s">
        <v>32</v>
      </c>
      <c r="S15">
        <v>1.386</v>
      </c>
      <c r="T15">
        <v>20</v>
      </c>
      <c r="U15">
        <v>0.2</v>
      </c>
      <c r="V15" s="2">
        <f t="shared" si="9"/>
        <v>159795.43272</v>
      </c>
      <c r="W15" s="18">
        <f t="shared" si="13"/>
        <v>605204.56728</v>
      </c>
      <c r="X15" s="19">
        <f t="shared" si="10"/>
        <v>1210.40913456</v>
      </c>
      <c r="Y15" s="18">
        <f t="shared" si="14"/>
        <v>2395.43533439127</v>
      </c>
      <c r="Z15" s="18">
        <f>Y15</f>
        <v>2395.43533439127</v>
      </c>
    </row>
    <row r="16" spans="1:26">
      <c r="A16">
        <v>14</v>
      </c>
      <c r="B16">
        <v>900</v>
      </c>
      <c r="C16">
        <v>650000</v>
      </c>
      <c r="D16" t="s">
        <v>30</v>
      </c>
      <c r="E16" s="2">
        <f t="shared" si="2"/>
        <v>585000</v>
      </c>
      <c r="F16">
        <v>612</v>
      </c>
      <c r="G16" s="10">
        <f t="shared" si="3"/>
        <v>1.44078431372549</v>
      </c>
      <c r="H16">
        <v>12.5</v>
      </c>
      <c r="I16" s="10">
        <f t="shared" si="4"/>
        <v>48.96</v>
      </c>
      <c r="J16">
        <v>0</v>
      </c>
      <c r="K16" s="14">
        <f t="shared" si="5"/>
        <v>1.07577090502476</v>
      </c>
      <c r="L16" s="15">
        <f t="shared" si="6"/>
        <v>1.73333333333333</v>
      </c>
      <c r="M16" s="15">
        <f t="shared" si="7"/>
        <v>1.08849615723718</v>
      </c>
      <c r="N16" s="15">
        <f t="shared" si="8"/>
        <v>1</v>
      </c>
      <c r="O16" s="15">
        <v>1</v>
      </c>
      <c r="P16" s="15">
        <f t="shared" si="12"/>
        <v>1.89760039559527</v>
      </c>
      <c r="Q16">
        <v>150</v>
      </c>
      <c r="R16" t="s">
        <v>29</v>
      </c>
      <c r="S16">
        <v>1.2</v>
      </c>
      <c r="T16">
        <v>30</v>
      </c>
      <c r="U16">
        <v>0.2</v>
      </c>
      <c r="V16" s="2">
        <f t="shared" si="9"/>
        <v>49411.08</v>
      </c>
      <c r="W16" s="18">
        <f t="shared" si="13"/>
        <v>535588.92</v>
      </c>
      <c r="X16" s="19">
        <f t="shared" si="10"/>
        <v>875.145294117647</v>
      </c>
      <c r="Y16" s="18">
        <f t="shared" si="14"/>
        <v>1660.67605632099</v>
      </c>
      <c r="Z16" s="18">
        <f>Y16</f>
        <v>1660.67605632099</v>
      </c>
    </row>
    <row r="17" spans="1:26">
      <c r="A17">
        <v>15</v>
      </c>
      <c r="B17">
        <v>900</v>
      </c>
      <c r="C17">
        <v>1000000</v>
      </c>
      <c r="D17" t="s">
        <v>30</v>
      </c>
      <c r="E17" s="2">
        <f t="shared" si="2"/>
        <v>900000</v>
      </c>
      <c r="F17">
        <v>1000</v>
      </c>
      <c r="G17" s="10">
        <f t="shared" si="3"/>
        <v>0.88176</v>
      </c>
      <c r="H17">
        <v>20</v>
      </c>
      <c r="I17" s="10">
        <f t="shared" si="4"/>
        <v>50</v>
      </c>
      <c r="J17">
        <v>0</v>
      </c>
      <c r="K17" s="14">
        <f t="shared" si="5"/>
        <v>0.975146976936425</v>
      </c>
      <c r="L17" s="15">
        <f t="shared" si="6"/>
        <v>1.73333333333333</v>
      </c>
      <c r="M17" s="15">
        <f t="shared" si="7"/>
        <v>1.01439921107082</v>
      </c>
      <c r="N17" s="15">
        <f t="shared" si="8"/>
        <v>1</v>
      </c>
      <c r="O17" s="15">
        <v>1</v>
      </c>
      <c r="P17" s="15">
        <f t="shared" si="12"/>
        <v>1.72287952134057</v>
      </c>
      <c r="Q17">
        <v>0</v>
      </c>
      <c r="V17" s="2">
        <f t="shared" si="9"/>
        <v>0</v>
      </c>
      <c r="W17" s="18">
        <f t="shared" si="13"/>
        <v>900000</v>
      </c>
      <c r="X17" s="19">
        <f t="shared" si="10"/>
        <v>900</v>
      </c>
      <c r="Y17" s="18">
        <f t="shared" si="14"/>
        <v>1550.59156920652</v>
      </c>
      <c r="Z17" s="18">
        <f>Y17</f>
        <v>1550.59156920652</v>
      </c>
    </row>
    <row r="18" spans="1:26">
      <c r="A18">
        <v>16</v>
      </c>
      <c r="B18">
        <v>900</v>
      </c>
      <c r="C18">
        <v>1990000</v>
      </c>
      <c r="D18" t="s">
        <v>30</v>
      </c>
      <c r="E18" s="2">
        <f t="shared" si="2"/>
        <v>1791000</v>
      </c>
      <c r="F18">
        <v>1410</v>
      </c>
      <c r="G18" s="10">
        <f t="shared" si="3"/>
        <v>0.62536170212766</v>
      </c>
      <c r="H18">
        <v>30</v>
      </c>
      <c r="I18" s="10">
        <f t="shared" si="4"/>
        <v>47</v>
      </c>
      <c r="J18">
        <v>47</v>
      </c>
      <c r="K18" s="14">
        <f t="shared" si="5"/>
        <v>0.910387437443039</v>
      </c>
      <c r="L18" s="15">
        <f t="shared" si="6"/>
        <v>1.73333333333333</v>
      </c>
      <c r="M18" s="15">
        <f t="shared" si="7"/>
        <v>0.954542377467489</v>
      </c>
      <c r="N18" s="15">
        <f t="shared" si="8"/>
        <v>1</v>
      </c>
      <c r="O18" s="15">
        <v>0.95</v>
      </c>
      <c r="P18" s="15">
        <f t="shared" si="12"/>
        <v>1.54826314824386</v>
      </c>
      <c r="Q18">
        <v>0</v>
      </c>
      <c r="V18" s="2">
        <f t="shared" si="9"/>
        <v>0</v>
      </c>
      <c r="W18" s="18">
        <f t="shared" si="13"/>
        <v>1791000</v>
      </c>
      <c r="X18" s="19">
        <f t="shared" si="10"/>
        <v>1270.21276595745</v>
      </c>
      <c r="Y18" s="18">
        <f t="shared" si="14"/>
        <v>1966.62361596082</v>
      </c>
      <c r="Z18" s="18">
        <f>Y18</f>
        <v>1966.62361596082</v>
      </c>
    </row>
    <row r="19" s="1" customFormat="1" spans="1:26">
      <c r="A19" s="1" t="s">
        <v>33</v>
      </c>
      <c r="B19" s="1">
        <v>1560</v>
      </c>
      <c r="E19" s="11"/>
      <c r="F19" s="1">
        <v>881.76</v>
      </c>
      <c r="H19" s="1">
        <v>22</v>
      </c>
      <c r="I19" s="1">
        <v>40.08</v>
      </c>
      <c r="W19" s="1" t="s">
        <v>34</v>
      </c>
      <c r="Y19" s="20">
        <f>AVERAGE(Y11:Y18)</f>
        <v>1898.9084720268</v>
      </c>
      <c r="Z19" s="20">
        <f>AVERAGE(Z11:Z18)</f>
        <v>1807.04173921016</v>
      </c>
    </row>
    <row r="20" spans="23:26">
      <c r="W20" t="s">
        <v>35</v>
      </c>
      <c r="Y20" s="10">
        <f>STDEV(Y11:Y18)</f>
        <v>469.308016078633</v>
      </c>
      <c r="Z20" s="10">
        <f>STDEV(Z11:Z18)</f>
        <v>422.125235796795</v>
      </c>
    </row>
    <row r="21" spans="1:26">
      <c r="A21" t="s">
        <v>36</v>
      </c>
      <c r="D21" t="s">
        <v>37</v>
      </c>
      <c r="E21" s="2" t="s">
        <v>38</v>
      </c>
      <c r="F21" t="s">
        <v>39</v>
      </c>
      <c r="L21" s="2">
        <f>(30/22)^2</f>
        <v>1.8595041322314</v>
      </c>
      <c r="W21" t="s">
        <v>40</v>
      </c>
      <c r="Y21" s="10">
        <f>Y20/Y19</f>
        <v>0.247146201616404</v>
      </c>
      <c r="Z21" s="10">
        <f>Z20/Z19</f>
        <v>0.233600158002605</v>
      </c>
    </row>
    <row r="22" spans="1:26">
      <c r="A22">
        <v>1372.53</v>
      </c>
      <c r="D22" s="2">
        <v>20</v>
      </c>
      <c r="E22" s="2">
        <v>60</v>
      </c>
      <c r="F22">
        <v>0.5</v>
      </c>
      <c r="W22" t="s">
        <v>41</v>
      </c>
      <c r="Y22" s="10">
        <f>1.3*Y19</f>
        <v>2468.58101363484</v>
      </c>
      <c r="Z22" s="10">
        <f>1.3*Z19</f>
        <v>2349.15426097321</v>
      </c>
    </row>
    <row r="23" spans="23:26">
      <c r="W23" t="s">
        <v>42</v>
      </c>
      <c r="Y23" s="10">
        <f>0.7*Y19</f>
        <v>1329.23593041876</v>
      </c>
      <c r="Z23" s="10">
        <f>0.7*Z19</f>
        <v>1264.92921744711</v>
      </c>
    </row>
  </sheetData>
  <mergeCells count="13">
    <mergeCell ref="F1:I1"/>
    <mergeCell ref="K1:P1"/>
    <mergeCell ref="Q1:U1"/>
    <mergeCell ref="A1:A2"/>
    <mergeCell ref="B1:B2"/>
    <mergeCell ref="C1:C2"/>
    <mergeCell ref="D1:D2"/>
    <mergeCell ref="E1:E2"/>
    <mergeCell ref="V1:V2"/>
    <mergeCell ref="W1:W2"/>
    <mergeCell ref="X1:X2"/>
    <mergeCell ref="Y1:Y2"/>
    <mergeCell ref="Z1:Z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lfpdr</dc:creator>
  <cp:lastModifiedBy>lfpdr</cp:lastModifiedBy>
  <dcterms:created xsi:type="dcterms:W3CDTF">2022-03-06T18:57:00Z</dcterms:created>
  <dcterms:modified xsi:type="dcterms:W3CDTF">2022-03-11T16:22:04Z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009ADF8E66D14E1F901876F32A07FB15</vt:lpwstr>
  </property>
  <property fmtid="{D5CDD505-2E9C-101B-9397-08002B2CF9AE}" pid="3" name="KSOProductBuildVer">
    <vt:lpwstr>1046-11.2.0.10463</vt:lpwstr>
  </property>
</Properties>
</file>