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lfpdr\Google Drive\_CURSOS\_PROPRIOS\Alugueis_INBEC\refs\"/>
    </mc:Choice>
  </mc:AlternateContent>
  <xr:revisionPtr revIDLastSave="0" documentId="13_ncr:1_{C08E4C64-6403-4B86-8268-637A4FDF2A7D}" xr6:coauthVersionLast="47" xr6:coauthVersionMax="47" xr10:uidLastSave="{00000000-0000-0000-0000-000000000000}"/>
  <bookViews>
    <workbookView xWindow="28680" yWindow="-120" windowWidth="22740" windowHeight="13020" xr2:uid="{00000000-000D-0000-FFFF-FFFF00000000}"/>
  </bookViews>
  <sheets>
    <sheet name="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1" l="1"/>
  <c r="C24" i="1"/>
  <c r="G15" i="1"/>
  <c r="G14" i="1"/>
  <c r="G13" i="1"/>
  <c r="J5" i="1"/>
  <c r="C27" i="1" s="1"/>
  <c r="G5" i="1"/>
  <c r="C5" i="1"/>
  <c r="K4" i="1"/>
  <c r="J4" i="1"/>
  <c r="K3" i="1"/>
  <c r="K5" i="1" s="1"/>
  <c r="C11" i="1" s="1"/>
  <c r="J3" i="1"/>
  <c r="C28" i="1" l="1"/>
  <c r="C10" i="1"/>
  <c r="C12" i="1" s="1"/>
  <c r="C15" i="1" s="1"/>
  <c r="C17" i="1" l="1"/>
  <c r="L27" i="1"/>
  <c r="O28" i="1"/>
  <c r="F28" i="1"/>
  <c r="G28" i="1" s="1"/>
  <c r="F27" i="1"/>
  <c r="O27" i="1"/>
  <c r="O29" i="1" s="1"/>
  <c r="F29" i="1" l="1"/>
  <c r="G27" i="1"/>
  <c r="H27" i="1" s="1"/>
  <c r="N2" i="1" s="1"/>
  <c r="N3" i="1" s="1"/>
  <c r="P29" i="1"/>
  <c r="L28" i="1"/>
</calcChain>
</file>

<file path=xl/sharedStrings.xml><?xml version="1.0" encoding="utf-8"?>
<sst xmlns="http://schemas.openxmlformats.org/spreadsheetml/2006/main" count="73" uniqueCount="53">
  <si>
    <t>Área Homogeneizada</t>
  </si>
  <si>
    <t>Verificação Pesos</t>
  </si>
  <si>
    <t>Terreno</t>
  </si>
  <si>
    <t>Área Construída</t>
  </si>
  <si>
    <t>Pesos</t>
  </si>
  <si>
    <t>Existente</t>
  </si>
  <si>
    <t>Possível</t>
  </si>
  <si>
    <t>d</t>
  </si>
  <si>
    <t>Area</t>
  </si>
  <si>
    <t>m2</t>
  </si>
  <si>
    <t>Térreo</t>
  </si>
  <si>
    <t>p</t>
  </si>
  <si>
    <t>qt</t>
  </si>
  <si>
    <t>R$/m2</t>
  </si>
  <si>
    <t>Superiores</t>
  </si>
  <si>
    <t>Vt</t>
  </si>
  <si>
    <t>R$</t>
  </si>
  <si>
    <t>Total</t>
  </si>
  <si>
    <t>CAbasico</t>
  </si>
  <si>
    <t>TO</t>
  </si>
  <si>
    <t>Idade</t>
  </si>
  <si>
    <t>Vida Útil</t>
  </si>
  <si>
    <t>Aproveitamento do Terreo</t>
  </si>
  <si>
    <t>Ahe</t>
  </si>
  <si>
    <t>Custo de Reprodução</t>
  </si>
  <si>
    <t>Ahp</t>
  </si>
  <si>
    <t>Coef. Padrao</t>
  </si>
  <si>
    <t>CA</t>
  </si>
  <si>
    <t>Custo Básico</t>
  </si>
  <si>
    <t>(R8N)</t>
  </si>
  <si>
    <t>qb</t>
  </si>
  <si>
    <t>Depreciação</t>
  </si>
  <si>
    <t>Capital Terreno</t>
  </si>
  <si>
    <t>Capital Benfeitoria</t>
  </si>
  <si>
    <t>FC</t>
  </si>
  <si>
    <t>Capital Imóvel</t>
  </si>
  <si>
    <t>Taxas de rendimento</t>
  </si>
  <si>
    <t>Taxa básica</t>
  </si>
  <si>
    <t>Benfeitorias</t>
  </si>
  <si>
    <t>Não liquidez</t>
  </si>
  <si>
    <t>Valorização do Capital</t>
  </si>
  <si>
    <t>Vacância</t>
  </si>
  <si>
    <t>it</t>
  </si>
  <si>
    <t>ib</t>
  </si>
  <si>
    <t>Cota Parte</t>
  </si>
  <si>
    <t>Valor Locativo</t>
  </si>
  <si>
    <t>VU</t>
  </si>
  <si>
    <t>Cálculo com taxa composta</t>
  </si>
  <si>
    <t>Cálculo com taxa mensal (mais preciso)</t>
  </si>
  <si>
    <t>i</t>
  </si>
  <si>
    <t>Valor locativo</t>
  </si>
  <si>
    <t>TOTAL (R$/mês)</t>
  </si>
  <si>
    <t>Taxa mensal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</si>
</sst>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5" formatCode="_-* #,##0.00_-;\-* #,##0.00_-;_-* &quot;-&quot;??.00_-;_-@_-"/>
  </numFmts>
  <fonts count="5"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sz val="10"/>
      <name val="Calibri"/>
      <charset val="134"/>
      <scheme val="minor"/>
    </font>
    <font>
      <sz val="10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43" fontId="0" fillId="2" borderId="0" xfId="1" applyFill="1">
      <alignment vertical="center"/>
    </xf>
    <xf numFmtId="43" fontId="0" fillId="0" borderId="0" xfId="1">
      <alignment vertical="center"/>
    </xf>
    <xf numFmtId="43" fontId="2" fillId="0" borderId="0" xfId="0" applyNumberFormat="1" applyFont="1">
      <alignment vertical="center"/>
    </xf>
    <xf numFmtId="43" fontId="3" fillId="2" borderId="0" xfId="0" applyNumberFormat="1" applyFont="1" applyFill="1">
      <alignment vertical="center"/>
    </xf>
    <xf numFmtId="10" fontId="0" fillId="2" borderId="0" xfId="0" applyNumberFormat="1" applyFill="1">
      <alignment vertical="center"/>
    </xf>
    <xf numFmtId="10" fontId="2" fillId="0" borderId="0" xfId="0" applyNumberFormat="1" applyFont="1">
      <alignment vertical="center"/>
    </xf>
    <xf numFmtId="164" fontId="2" fillId="0" borderId="0" xfId="0" applyNumberFormat="1" applyFont="1">
      <alignment vertical="center"/>
    </xf>
    <xf numFmtId="43" fontId="0" fillId="0" borderId="0" xfId="0" applyNumberFormat="1">
      <alignment vertical="center"/>
    </xf>
    <xf numFmtId="43" fontId="2" fillId="0" borderId="0" xfId="1" applyFont="1">
      <alignment vertical="center"/>
    </xf>
    <xf numFmtId="0" fontId="2" fillId="0" borderId="0" xfId="0" applyFont="1">
      <alignment vertical="center"/>
    </xf>
    <xf numFmtId="10" fontId="0" fillId="0" borderId="0" xfId="2" applyNumberFormat="1">
      <alignment vertical="center"/>
    </xf>
    <xf numFmtId="165" fontId="0" fillId="0" borderId="0" xfId="0" applyNumberFormat="1">
      <alignment vertical="center"/>
    </xf>
    <xf numFmtId="165" fontId="2" fillId="0" borderId="0" xfId="0" applyNumberFormat="1" applyFont="1">
      <alignment vertical="center"/>
    </xf>
    <xf numFmtId="0" fontId="0" fillId="0" borderId="0" xfId="0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tabSelected="1" topLeftCell="A10" zoomScale="160" zoomScaleNormal="160" workbookViewId="0">
      <selection activeCell="A20" sqref="A20:A22"/>
    </sheetView>
  </sheetViews>
  <sheetFormatPr defaultColWidth="8.88671875" defaultRowHeight="13.8"/>
  <cols>
    <col min="2" max="2" width="19.88671875" customWidth="1"/>
    <col min="3" max="3" width="13.5546875"/>
    <col min="5" max="5" width="15" customWidth="1"/>
    <col min="6" max="6" width="19.5546875" customWidth="1"/>
    <col min="7" max="7" width="11.77734375"/>
    <col min="8" max="8" width="9.5546875"/>
    <col min="11" max="12" width="11.6640625"/>
    <col min="14" max="14" width="12.88671875"/>
    <col min="15" max="15" width="9.5546875"/>
    <col min="16" max="16" width="13.21875"/>
  </cols>
  <sheetData>
    <row r="1" spans="2:14">
      <c r="J1" s="1" t="s">
        <v>0</v>
      </c>
      <c r="M1" s="12" t="s">
        <v>1</v>
      </c>
    </row>
    <row r="2" spans="2:14">
      <c r="B2" s="1" t="s">
        <v>2</v>
      </c>
      <c r="F2" s="1" t="s">
        <v>3</v>
      </c>
      <c r="I2" s="1" t="s">
        <v>4</v>
      </c>
      <c r="J2" s="1" t="s">
        <v>5</v>
      </c>
      <c r="K2" s="1" t="s">
        <v>6</v>
      </c>
      <c r="M2" t="s">
        <v>7</v>
      </c>
      <c r="N2" s="5">
        <f>H27</f>
        <v>1.8000000000000005</v>
      </c>
    </row>
    <row r="3" spans="2:14">
      <c r="B3" t="s">
        <v>8</v>
      </c>
      <c r="C3" s="2">
        <v>400</v>
      </c>
      <c r="D3" t="s">
        <v>9</v>
      </c>
      <c r="F3" t="s">
        <v>10</v>
      </c>
      <c r="G3" s="2">
        <v>150</v>
      </c>
      <c r="H3" t="s">
        <v>9</v>
      </c>
      <c r="I3" s="2">
        <v>3</v>
      </c>
      <c r="J3">
        <f>I3*G3</f>
        <v>450</v>
      </c>
      <c r="K3">
        <f>I3*C7*C3</f>
        <v>600</v>
      </c>
      <c r="M3" t="s">
        <v>11</v>
      </c>
      <c r="N3" s="5">
        <f>(G13*G14*(N2-1)*(C6-C7)+C4*N2)/(C4-G13*G14*(N2-1)*C7)</f>
        <v>2.4653465346534662</v>
      </c>
    </row>
    <row r="4" spans="2:14">
      <c r="B4" t="s">
        <v>12</v>
      </c>
      <c r="C4" s="3">
        <v>2000</v>
      </c>
      <c r="D4" t="s">
        <v>13</v>
      </c>
      <c r="F4" t="s">
        <v>14</v>
      </c>
      <c r="G4" s="2">
        <v>300</v>
      </c>
      <c r="H4" t="s">
        <v>9</v>
      </c>
      <c r="I4" s="2">
        <v>1</v>
      </c>
      <c r="J4">
        <f>I4*G4</f>
        <v>300</v>
      </c>
      <c r="K4">
        <f>(C6-C7)*C3*I4</f>
        <v>200</v>
      </c>
    </row>
    <row r="5" spans="2:14">
      <c r="B5" t="s">
        <v>15</v>
      </c>
      <c r="C5" s="4">
        <f>C3*C4</f>
        <v>800000</v>
      </c>
      <c r="D5" t="s">
        <v>16</v>
      </c>
      <c r="F5" t="s">
        <v>17</v>
      </c>
      <c r="G5" s="1">
        <f>SUM(G3:G4)</f>
        <v>450</v>
      </c>
      <c r="H5" t="s">
        <v>9</v>
      </c>
      <c r="I5" s="1" t="s">
        <v>17</v>
      </c>
      <c r="J5" s="1">
        <f>SUM(J3:J4)</f>
        <v>750</v>
      </c>
      <c r="K5" s="1">
        <f>SUM(K3:K4)</f>
        <v>800</v>
      </c>
    </row>
    <row r="6" spans="2:14">
      <c r="B6" t="s">
        <v>18</v>
      </c>
      <c r="C6" s="2">
        <v>1</v>
      </c>
    </row>
    <row r="7" spans="2:14">
      <c r="B7" t="s">
        <v>19</v>
      </c>
      <c r="C7" s="2">
        <v>0.5</v>
      </c>
      <c r="F7" s="1" t="s">
        <v>20</v>
      </c>
      <c r="G7" s="2">
        <v>15</v>
      </c>
    </row>
    <row r="8" spans="2:14">
      <c r="F8" s="1" t="s">
        <v>21</v>
      </c>
      <c r="G8" s="2">
        <v>60</v>
      </c>
      <c r="H8" s="1"/>
    </row>
    <row r="9" spans="2:14">
      <c r="B9" s="1" t="s">
        <v>22</v>
      </c>
    </row>
    <row r="10" spans="2:14">
      <c r="B10" t="s">
        <v>23</v>
      </c>
      <c r="C10">
        <f>J5</f>
        <v>750</v>
      </c>
      <c r="F10" s="1" t="s">
        <v>24</v>
      </c>
    </row>
    <row r="11" spans="2:14">
      <c r="B11" t="s">
        <v>25</v>
      </c>
      <c r="C11">
        <f>K5</f>
        <v>800</v>
      </c>
      <c r="F11" t="s">
        <v>26</v>
      </c>
      <c r="G11" s="2">
        <v>1.2</v>
      </c>
    </row>
    <row r="12" spans="2:14">
      <c r="B12" s="1" t="s">
        <v>27</v>
      </c>
      <c r="C12" s="1">
        <f>C10/C11</f>
        <v>0.9375</v>
      </c>
      <c r="F12" t="s">
        <v>28</v>
      </c>
      <c r="G12" s="2">
        <v>1000</v>
      </c>
      <c r="H12" t="s">
        <v>13</v>
      </c>
      <c r="I12" t="s">
        <v>29</v>
      </c>
    </row>
    <row r="13" spans="2:14">
      <c r="F13" t="s">
        <v>30</v>
      </c>
      <c r="G13">
        <f>G11*G12</f>
        <v>1200</v>
      </c>
      <c r="H13" t="s">
        <v>13</v>
      </c>
    </row>
    <row r="14" spans="2:14">
      <c r="F14" t="s">
        <v>31</v>
      </c>
      <c r="G14" s="2">
        <f>0.2+0.8*(G8-G7)/G8</f>
        <v>0.8</v>
      </c>
    </row>
    <row r="15" spans="2:14">
      <c r="B15" s="1" t="s">
        <v>32</v>
      </c>
      <c r="C15" s="5">
        <f>C12*C5</f>
        <v>750000</v>
      </c>
      <c r="D15" t="s">
        <v>16</v>
      </c>
      <c r="F15" s="1" t="s">
        <v>33</v>
      </c>
      <c r="G15" s="5">
        <f>G13*G14*G5</f>
        <v>432000</v>
      </c>
      <c r="H15" t="s">
        <v>16</v>
      </c>
    </row>
    <row r="16" spans="2:14">
      <c r="B16" s="1" t="s">
        <v>34</v>
      </c>
      <c r="C16" s="6">
        <v>1.1000000000000001</v>
      </c>
    </row>
    <row r="17" spans="1:16">
      <c r="B17" s="1" t="s">
        <v>35</v>
      </c>
      <c r="C17" s="5">
        <f>C16*(C15+G15)</f>
        <v>1300200</v>
      </c>
    </row>
    <row r="18" spans="1:16">
      <c r="B18" s="1"/>
      <c r="C18" s="5"/>
    </row>
    <row r="19" spans="1:16">
      <c r="B19" s="1" t="s">
        <v>36</v>
      </c>
      <c r="C19" s="5"/>
    </row>
    <row r="20" spans="1:16">
      <c r="A20" s="16" t="s">
        <v>2</v>
      </c>
      <c r="B20" t="s">
        <v>37</v>
      </c>
      <c r="C20" s="7">
        <v>0.08</v>
      </c>
      <c r="E20" s="16" t="s">
        <v>38</v>
      </c>
      <c r="F20" t="s">
        <v>37</v>
      </c>
      <c r="G20" s="7">
        <v>0.08</v>
      </c>
    </row>
    <row r="21" spans="1:16">
      <c r="A21" s="16"/>
      <c r="B21" t="s">
        <v>39</v>
      </c>
      <c r="C21" s="7">
        <v>1.4999999999999999E-2</v>
      </c>
      <c r="E21" s="16"/>
      <c r="F21" t="s">
        <v>39</v>
      </c>
      <c r="G21" s="7">
        <v>1.4999999999999999E-2</v>
      </c>
    </row>
    <row r="22" spans="1:16">
      <c r="A22" s="16"/>
      <c r="B22" t="s">
        <v>40</v>
      </c>
      <c r="C22" s="7">
        <v>-1.4999999999999999E-2</v>
      </c>
      <c r="E22" s="16"/>
      <c r="F22" t="s">
        <v>31</v>
      </c>
      <c r="G22" s="7">
        <v>0.02</v>
      </c>
    </row>
    <row r="23" spans="1:16">
      <c r="E23" s="16"/>
      <c r="F23" t="s">
        <v>41</v>
      </c>
      <c r="G23" s="7">
        <v>0.01</v>
      </c>
    </row>
    <row r="24" spans="1:16">
      <c r="B24" s="1" t="s">
        <v>42</v>
      </c>
      <c r="C24" s="8">
        <f>SUM(C20:C22)</f>
        <v>0.08</v>
      </c>
      <c r="F24" s="1" t="s">
        <v>43</v>
      </c>
      <c r="G24" s="9">
        <f>SUM(G20:G23)</f>
        <v>0.125</v>
      </c>
    </row>
    <row r="26" spans="1:16">
      <c r="B26" s="1" t="s">
        <v>44</v>
      </c>
      <c r="F26" s="1" t="s">
        <v>45</v>
      </c>
      <c r="G26" s="1" t="s">
        <v>46</v>
      </c>
      <c r="H26" s="1" t="s">
        <v>7</v>
      </c>
      <c r="K26" s="1" t="s">
        <v>47</v>
      </c>
      <c r="N26" s="1" t="s">
        <v>48</v>
      </c>
    </row>
    <row r="27" spans="1:16">
      <c r="B27" t="s">
        <v>10</v>
      </c>
      <c r="C27">
        <f>J3/J5</f>
        <v>0.6</v>
      </c>
      <c r="E27" t="s">
        <v>10</v>
      </c>
      <c r="F27" s="10">
        <f>(C27*($C$16*$C$15*$C$24)+G3*$C$16*$G$13*$G$14*$G$24)/12</f>
        <v>4950.0000000000009</v>
      </c>
      <c r="G27" s="10">
        <f>F27/G3</f>
        <v>33.000000000000007</v>
      </c>
      <c r="H27" s="10">
        <f>G27/G28</f>
        <v>1.8000000000000005</v>
      </c>
      <c r="K27" s="1" t="s">
        <v>49</v>
      </c>
      <c r="L27" s="13">
        <f>(C15*C24+G15*G24)/(C15+G15)</f>
        <v>9.6446700507614211E-2</v>
      </c>
      <c r="N27" t="s">
        <v>10</v>
      </c>
      <c r="O27" s="14">
        <f>C27*($C$16*$C$15*((1+$C$24)^(1/12)-1))+G3*$C$16*$G$13*$G$14*((1+$G$24)^(1/12)-1)</f>
        <v>4747.2360640803936</v>
      </c>
    </row>
    <row r="28" spans="1:16">
      <c r="B28" t="s">
        <v>14</v>
      </c>
      <c r="C28">
        <f>J4/J5</f>
        <v>0.4</v>
      </c>
      <c r="E28" t="s">
        <v>14</v>
      </c>
      <c r="F28" s="10">
        <f>(C28*($C$16*$C$15*$C$24)+G4*$C$16*$G$13*$G$14*$G$24)/12</f>
        <v>5500</v>
      </c>
      <c r="G28" s="10">
        <f>F28/G4</f>
        <v>18.333333333333332</v>
      </c>
      <c r="K28" s="1" t="s">
        <v>50</v>
      </c>
      <c r="L28" s="5">
        <f>C17*L27/12</f>
        <v>10450</v>
      </c>
      <c r="N28" t="s">
        <v>14</v>
      </c>
      <c r="O28" s="14">
        <f>C28*($C$16*$C$15*((1+$C$24)^(1/12)-1))+G4*$C$16*$G$13*$G$14*((1+$G$24)^(1/12)-1)</f>
        <v>5248.0122555585231</v>
      </c>
    </row>
    <row r="29" spans="1:16">
      <c r="E29" s="1" t="s">
        <v>51</v>
      </c>
      <c r="F29" s="11">
        <f>SUM(F27:F28)</f>
        <v>10450</v>
      </c>
      <c r="K29" t="s">
        <v>52</v>
      </c>
      <c r="N29" t="s">
        <v>51</v>
      </c>
      <c r="O29" s="15">
        <f>SUM(O27:O28)</f>
        <v>9995.2483196389167</v>
      </c>
      <c r="P29" s="5">
        <f>C17*((1+L27)^(1/12)-1)</f>
        <v>10014.66303438033</v>
      </c>
    </row>
  </sheetData>
  <mergeCells count="2">
    <mergeCell ref="A20:A22"/>
    <mergeCell ref="E20:E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lfpdr</dc:creator>
  <cp:lastModifiedBy>Luiz F P Droubi</cp:lastModifiedBy>
  <dcterms:created xsi:type="dcterms:W3CDTF">2022-03-04T16:37:00Z</dcterms:created>
  <dcterms:modified xsi:type="dcterms:W3CDTF">2025-08-16T01:02:27Z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C969BDBCFFF64159B67B53E9A2C6D69D</vt:lpwstr>
  </property>
  <property fmtid="{D5CDD505-2E9C-101B-9397-08002B2CF9AE}" pid="3" name="KSOProductBuildVer">
    <vt:lpwstr>1046-11.2.0.11029</vt:lpwstr>
  </property>
</Properties>
</file>