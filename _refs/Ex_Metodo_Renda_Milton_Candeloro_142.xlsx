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798b26a0dcfc0f4/Documentos/_01_Droubi Aval/EDUFOR/Alugueis_08-2025/refs/"/>
    </mc:Choice>
  </mc:AlternateContent>
  <xr:revisionPtr revIDLastSave="75" documentId="8_{EF8F25E5-2332-403B-98C0-797C6AD66D9B}" xr6:coauthVersionLast="47" xr6:coauthVersionMax="47" xr10:uidLastSave="{D43FABA8-FFAC-4E03-A914-48602F92965B}"/>
  <bookViews>
    <workbookView xWindow="-108" yWindow="-108" windowWidth="23256" windowHeight="12456" activeTab="1" xr2:uid="{00000000-000D-0000-FFFF-FFFF00000000}"/>
  </bookViews>
  <sheets>
    <sheet name="CA" sheetId="1" r:id="rId1"/>
    <sheet name="Cota Part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3" l="1"/>
  <c r="D21" i="3"/>
  <c r="E21" i="3" s="1"/>
  <c r="D20" i="3"/>
  <c r="E20" i="3" s="1"/>
  <c r="D19" i="3"/>
  <c r="D18" i="3"/>
  <c r="G16" i="1"/>
  <c r="F1" i="3"/>
  <c r="I2" i="3"/>
  <c r="I1" i="3"/>
  <c r="F5" i="3"/>
  <c r="G15" i="1"/>
  <c r="F2" i="3"/>
  <c r="E22" i="3"/>
  <c r="E19" i="3"/>
  <c r="E18" i="3"/>
  <c r="D13" i="3"/>
  <c r="C13" i="3"/>
  <c r="C12" i="3"/>
  <c r="C4" i="3"/>
  <c r="C3" i="3"/>
  <c r="C2" i="3"/>
  <c r="C1" i="3"/>
  <c r="G27" i="1"/>
  <c r="F3" i="3" s="1"/>
  <c r="C27" i="1"/>
  <c r="C5" i="3" s="1"/>
  <c r="G5" i="1"/>
  <c r="C5" i="1"/>
  <c r="K11" i="1"/>
  <c r="J11" i="1"/>
  <c r="E30" i="1" l="1"/>
  <c r="E31" i="1"/>
  <c r="G18" i="3"/>
  <c r="G19" i="3"/>
  <c r="G20" i="3"/>
  <c r="G21" i="3"/>
  <c r="G22" i="3"/>
  <c r="C14" i="3"/>
  <c r="G18" i="1"/>
  <c r="G12" i="3"/>
  <c r="E13" i="3"/>
  <c r="G13" i="3"/>
  <c r="H19" i="1" l="1"/>
  <c r="G20" i="1"/>
  <c r="J4" i="1" s="1"/>
  <c r="G14" i="3"/>
  <c r="G23" i="3"/>
  <c r="D12" i="3" l="1"/>
  <c r="I10" i="1"/>
  <c r="K10" i="1" l="1"/>
  <c r="K12" i="1" s="1"/>
  <c r="C14" i="1" s="1"/>
  <c r="J10" i="1"/>
  <c r="F19" i="3"/>
  <c r="H19" i="3" s="1"/>
  <c r="I19" i="3" s="1"/>
  <c r="F18" i="3"/>
  <c r="F22" i="3"/>
  <c r="H22" i="3" s="1"/>
  <c r="I22" i="3" s="1"/>
  <c r="F21" i="3"/>
  <c r="H21" i="3" s="1"/>
  <c r="I21" i="3" s="1"/>
  <c r="F20" i="3"/>
  <c r="H20" i="3" s="1"/>
  <c r="I20" i="3" s="1"/>
  <c r="E12" i="3"/>
  <c r="F12" i="3" s="1"/>
  <c r="F13" i="3"/>
  <c r="H18" i="3" l="1"/>
  <c r="F23" i="3"/>
  <c r="M12" i="3"/>
  <c r="H12" i="3"/>
  <c r="F14" i="3"/>
  <c r="J12" i="1"/>
  <c r="C30" i="1"/>
  <c r="H13" i="3"/>
  <c r="M13" i="3"/>
  <c r="C31" i="1" l="1"/>
  <c r="C13" i="1"/>
  <c r="C15" i="1" s="1"/>
  <c r="C18" i="1" s="1"/>
  <c r="J12" i="3"/>
  <c r="K12" i="3" s="1"/>
  <c r="H14" i="3"/>
  <c r="L18" i="3"/>
  <c r="I12" i="3"/>
  <c r="M2" i="3" s="1"/>
  <c r="M3" i="3" s="1"/>
  <c r="L19" i="3"/>
  <c r="H23" i="3"/>
  <c r="I18" i="3"/>
  <c r="L22" i="3"/>
  <c r="L21" i="3"/>
  <c r="I13" i="3"/>
  <c r="J20" i="3" s="1"/>
  <c r="L20" i="3"/>
  <c r="J13" i="3"/>
  <c r="K13" i="3" s="1"/>
  <c r="O12" i="3" l="1"/>
  <c r="P12" i="3" s="1"/>
  <c r="N12" i="3"/>
  <c r="O13" i="3"/>
  <c r="P13" i="3" s="1"/>
  <c r="N13" i="3"/>
  <c r="J18" i="3"/>
  <c r="D19" i="1"/>
  <c r="C35" i="1"/>
  <c r="F6" i="3" s="1"/>
  <c r="C20" i="1"/>
  <c r="C36" i="1" s="1"/>
  <c r="D31" i="1" l="1"/>
  <c r="F31" i="1" s="1"/>
  <c r="G31" i="1" s="1"/>
  <c r="D30" i="1"/>
  <c r="F30" i="1" s="1"/>
  <c r="G30" i="1" l="1"/>
  <c r="H30" i="1" s="1"/>
  <c r="O2" i="1" s="1"/>
  <c r="O3" i="1" s="1"/>
  <c r="F32" i="1"/>
</calcChain>
</file>

<file path=xl/sharedStrings.xml><?xml version="1.0" encoding="utf-8"?>
<sst xmlns="http://schemas.openxmlformats.org/spreadsheetml/2006/main" count="121" uniqueCount="85">
  <si>
    <t>Área Homogeneizada</t>
  </si>
  <si>
    <t>Verificação dos pesos</t>
  </si>
  <si>
    <t>Terreno</t>
  </si>
  <si>
    <t>Área Construída</t>
  </si>
  <si>
    <t>Pesos</t>
  </si>
  <si>
    <t>Existente</t>
  </si>
  <si>
    <t>Possível</t>
  </si>
  <si>
    <t>d</t>
  </si>
  <si>
    <t>Area</t>
  </si>
  <si>
    <t>m2</t>
  </si>
  <si>
    <t>Térreo</t>
  </si>
  <si>
    <t>p</t>
  </si>
  <si>
    <t>qt</t>
  </si>
  <si>
    <t>R$/m2</t>
  </si>
  <si>
    <t>Superiores</t>
  </si>
  <si>
    <t>Vt</t>
  </si>
  <si>
    <t>R$</t>
  </si>
  <si>
    <t>Total</t>
  </si>
  <si>
    <t>CAbasico</t>
  </si>
  <si>
    <t>TO</t>
  </si>
  <si>
    <t>Idade Aparente</t>
  </si>
  <si>
    <t>Vida Útil</t>
  </si>
  <si>
    <t>Aproveitamento do Terreo</t>
  </si>
  <si>
    <t>Benfeitoria</t>
  </si>
  <si>
    <t>Ahe</t>
  </si>
  <si>
    <t>Coef. Padrao</t>
  </si>
  <si>
    <t>Ahp</t>
  </si>
  <si>
    <t>Custo Básico</t>
  </si>
  <si>
    <t>CA</t>
  </si>
  <si>
    <t>qb</t>
  </si>
  <si>
    <t>Depreciação</t>
  </si>
  <si>
    <t>Capital Terreno</t>
  </si>
  <si>
    <t>Capital Benfeitoria</t>
  </si>
  <si>
    <t>FC</t>
  </si>
  <si>
    <t>Capital Imóvel</t>
  </si>
  <si>
    <t>Taxas de rendimento</t>
  </si>
  <si>
    <t>Taxa básica</t>
  </si>
  <si>
    <t>Benfeitorias</t>
  </si>
  <si>
    <t>Não liquidez</t>
  </si>
  <si>
    <t>Valorização do Capital</t>
  </si>
  <si>
    <t>Vacância</t>
  </si>
  <si>
    <t>it</t>
  </si>
  <si>
    <t>ib</t>
  </si>
  <si>
    <t>Cota Parte</t>
  </si>
  <si>
    <t>Valor Locativo</t>
  </si>
  <si>
    <t>VU</t>
  </si>
  <si>
    <t>Cálculo com taxa composta</t>
  </si>
  <si>
    <t>i</t>
  </si>
  <si>
    <t>Valor locativo</t>
  </si>
  <si>
    <t>TOTAL (R$/mês)</t>
  </si>
  <si>
    <t>Idade</t>
  </si>
  <si>
    <t>Relação de aluguéis (térreo/superiores)</t>
  </si>
  <si>
    <t>CA básico</t>
  </si>
  <si>
    <t>Peso d</t>
  </si>
  <si>
    <t>pcalculado</t>
  </si>
  <si>
    <t>At</t>
  </si>
  <si>
    <t>Taxa Composta (i)</t>
  </si>
  <si>
    <t>Os cálculos abaixo correm como se o avaliador não tivessem conhecimento algum a respeito da área do terreno e da área total dos pavimentos</t>
  </si>
  <si>
    <t>Tabela 1: Cálculo do valor locatício de cada andar em separado, sem fazer qualquer hipótese a respeito da composição da área total construída do edifício.</t>
  </si>
  <si>
    <t>Verificação</t>
  </si>
  <si>
    <t>Valor por andar</t>
  </si>
  <si>
    <t>Andar</t>
  </si>
  <si>
    <t>Ah</t>
  </si>
  <si>
    <t>Fórmula Cota-Parte</t>
  </si>
  <si>
    <t>Valor por m2</t>
  </si>
  <si>
    <t>Taxa Composta</t>
  </si>
  <si>
    <t>VUvenda</t>
  </si>
  <si>
    <t>VUaluguel</t>
  </si>
  <si>
    <t>TOTAL</t>
  </si>
  <si>
    <t>Ahu</t>
  </si>
  <si>
    <t>CTu</t>
  </si>
  <si>
    <t>1. Loja (90 m2)</t>
  </si>
  <si>
    <t>2. Loja (60 m2)</t>
  </si>
  <si>
    <t>3. Laje Corporativa (150 m2)</t>
  </si>
  <si>
    <t>4. Sala Comercial (60 m2)</t>
  </si>
  <si>
    <t>5. Sala Comercial (90 m2)</t>
  </si>
  <si>
    <t>Tabela 2: Cálculo do valor locatício de uma loja, laje ou sala no edifício, sem fazer qualquer hipótese a respeito da composição da área total construída do edifício.</t>
  </si>
  <si>
    <t>Ctu</t>
  </si>
  <si>
    <t>Cbu</t>
  </si>
  <si>
    <t>Peso da Cota Parte para o Térreo</t>
  </si>
  <si>
    <t>Peso relativo ao aluguel do Térreo</t>
  </si>
  <si>
    <t>Relação entre aluguéis</t>
  </si>
  <si>
    <t>(T x vezes mais caro!)</t>
  </si>
  <si>
    <t>qbo</t>
  </si>
  <si>
    <t>Vida 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</si>
</sst>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%"/>
    <numFmt numFmtId="165" formatCode="_-* #,##0.00_-;\-* #,##0.00_-;_-* &quot;-&quot;??.00_-;_-@_-"/>
    <numFmt numFmtId="166" formatCode="_-* #,##0.0000_-;\-* #,##0.0000_-;_-* &quot;-&quot;??_-;_-@_-"/>
    <numFmt numFmtId="167" formatCode="_-[$R$-416]\ * #,##0.00_-;\-[$R$-416]\ * #,##0.00_-;_-[$R$-416]\ * &quot;-&quot;??_-;_-@_-"/>
  </numFmts>
  <fonts count="9">
    <font>
      <sz val="10"/>
      <color theme="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1"/>
      <name val="Calibri"/>
      <scheme val="minor"/>
    </font>
    <font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43" fontId="0" fillId="0" borderId="0" xfId="0" applyNumberFormat="1">
      <alignment vertical="center"/>
    </xf>
    <xf numFmtId="10" fontId="0" fillId="0" borderId="0" xfId="2" applyNumberFormat="1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43" fontId="1" fillId="0" borderId="0" xfId="0" applyNumberFormat="1" applyFont="1">
      <alignment vertical="center"/>
    </xf>
    <xf numFmtId="43" fontId="0" fillId="0" borderId="0" xfId="1" applyFont="1">
      <alignment vertical="center"/>
    </xf>
    <xf numFmtId="43" fontId="0" fillId="2" borderId="0" xfId="1" applyFont="1" applyFill="1">
      <alignment vertical="center"/>
    </xf>
    <xf numFmtId="43" fontId="5" fillId="2" borderId="0" xfId="0" applyNumberFormat="1" applyFont="1" applyFill="1">
      <alignment vertical="center"/>
    </xf>
    <xf numFmtId="10" fontId="0" fillId="2" borderId="0" xfId="0" applyNumberFormat="1" applyFill="1">
      <alignment vertical="center"/>
    </xf>
    <xf numFmtId="10" fontId="1" fillId="0" borderId="0" xfId="0" applyNumberFormat="1" applyFont="1">
      <alignment vertical="center"/>
    </xf>
    <xf numFmtId="164" fontId="1" fillId="0" borderId="0" xfId="0" applyNumberFormat="1" applyFont="1">
      <alignment vertical="center"/>
    </xf>
    <xf numFmtId="43" fontId="1" fillId="0" borderId="0" xfId="1" applyFont="1">
      <alignment vertical="center"/>
    </xf>
    <xf numFmtId="165" fontId="0" fillId="0" borderId="0" xfId="0" applyNumberFormat="1">
      <alignment vertical="center"/>
    </xf>
    <xf numFmtId="165" fontId="1" fillId="0" borderId="0" xfId="0" applyNumberFormat="1" applyFont="1">
      <alignment vertical="center"/>
    </xf>
    <xf numFmtId="43" fontId="7" fillId="0" borderId="0" xfId="1" applyFont="1">
      <alignment vertical="center"/>
    </xf>
    <xf numFmtId="0" fontId="7" fillId="0" borderId="0" xfId="0" applyFont="1">
      <alignment vertical="center"/>
    </xf>
    <xf numFmtId="2" fontId="0" fillId="2" borderId="0" xfId="0" applyNumberFormat="1" applyFill="1">
      <alignment vertical="center"/>
    </xf>
    <xf numFmtId="4" fontId="0" fillId="2" borderId="0" xfId="0" applyNumberFormat="1" applyFill="1">
      <alignment vertical="center"/>
    </xf>
    <xf numFmtId="4" fontId="0" fillId="0" borderId="0" xfId="0" applyNumberFormat="1">
      <alignment vertical="center"/>
    </xf>
    <xf numFmtId="166" fontId="0" fillId="0" borderId="0" xfId="1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7" fontId="1" fillId="0" borderId="0" xfId="0" applyNumberFormat="1" applyFont="1">
      <alignment vertical="center"/>
    </xf>
    <xf numFmtId="0" fontId="8" fillId="0" borderId="0" xfId="0" applyFont="1">
      <alignment vertical="center"/>
    </xf>
    <xf numFmtId="2" fontId="0" fillId="0" borderId="0" xfId="0" applyNumberFormat="1">
      <alignment vertical="center"/>
    </xf>
    <xf numFmtId="43" fontId="8" fillId="0" borderId="0" xfId="0" applyNumberFormat="1" applyFont="1">
      <alignment vertical="center"/>
    </xf>
    <xf numFmtId="167" fontId="0" fillId="0" borderId="0" xfId="0" applyNumberFormat="1">
      <alignment vertical="center"/>
    </xf>
    <xf numFmtId="2" fontId="3" fillId="0" borderId="0" xfId="0" applyNumberFormat="1" applyFont="1">
      <alignment vertical="center"/>
    </xf>
    <xf numFmtId="9" fontId="0" fillId="2" borderId="0" xfId="0" applyNumberFormat="1" applyFill="1">
      <alignment vertical="center"/>
    </xf>
    <xf numFmtId="2" fontId="0" fillId="0" borderId="0" xfId="0" applyNumberFormat="1" applyFill="1">
      <alignment vertical="center"/>
    </xf>
    <xf numFmtId="0" fontId="0" fillId="0" borderId="0" xfId="0" applyFill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topLeftCell="A19" zoomScale="115" zoomScaleNormal="115" workbookViewId="0">
      <selection activeCell="D30" sqref="D30"/>
    </sheetView>
  </sheetViews>
  <sheetFormatPr defaultColWidth="8.88671875" defaultRowHeight="13.8"/>
  <cols>
    <col min="1" max="1" width="7.109375" customWidth="1"/>
    <col min="2" max="2" width="19.88671875" customWidth="1"/>
    <col min="3" max="3" width="15.33203125" bestFit="1" customWidth="1"/>
    <col min="4" max="4" width="12.44140625" bestFit="1" customWidth="1"/>
    <col min="5" max="5" width="13.88671875" bestFit="1" customWidth="1"/>
    <col min="6" max="6" width="19.5546875" customWidth="1"/>
    <col min="7" max="7" width="13.77734375" bestFit="1" customWidth="1"/>
    <col min="8" max="8" width="11" bestFit="1" customWidth="1"/>
    <col min="11" max="11" width="14" customWidth="1"/>
    <col min="12" max="12" width="1.21875" customWidth="1"/>
    <col min="13" max="13" width="1.44140625" customWidth="1"/>
    <col min="14" max="14" width="4.109375" customWidth="1"/>
    <col min="15" max="15" width="10.109375" bestFit="1" customWidth="1"/>
    <col min="16" max="16" width="13.21875"/>
  </cols>
  <sheetData>
    <row r="1" spans="2:16">
      <c r="N1" s="3" t="s">
        <v>1</v>
      </c>
    </row>
    <row r="2" spans="2:16">
      <c r="B2" s="6" t="s">
        <v>2</v>
      </c>
      <c r="F2" s="6" t="s">
        <v>3</v>
      </c>
      <c r="I2" s="19" t="s">
        <v>81</v>
      </c>
      <c r="N2" s="6" t="s">
        <v>7</v>
      </c>
      <c r="O2" s="8">
        <f>H30</f>
        <v>1.9999999999999998</v>
      </c>
      <c r="P2" t="s">
        <v>80</v>
      </c>
    </row>
    <row r="3" spans="2:16">
      <c r="B3" t="s">
        <v>8</v>
      </c>
      <c r="C3" s="7">
        <v>400</v>
      </c>
      <c r="D3" t="s">
        <v>9</v>
      </c>
      <c r="F3" t="s">
        <v>10</v>
      </c>
      <c r="G3" s="7">
        <v>150</v>
      </c>
      <c r="H3" t="s">
        <v>9</v>
      </c>
      <c r="I3" s="28" t="s">
        <v>7</v>
      </c>
      <c r="J3" s="7">
        <v>2</v>
      </c>
      <c r="K3" s="28" t="s">
        <v>82</v>
      </c>
      <c r="N3" s="6" t="s">
        <v>11</v>
      </c>
      <c r="O3" s="8">
        <f>(G15*G16*(O2-1)*(C6-C7)+C4*O2)/(C4-G15*G16*(O2-1)*C7)</f>
        <v>2.5121951219512191</v>
      </c>
      <c r="P3" t="s">
        <v>79</v>
      </c>
    </row>
    <row r="4" spans="2:16">
      <c r="B4" t="s">
        <v>12</v>
      </c>
      <c r="C4" s="10">
        <v>2000</v>
      </c>
      <c r="D4" t="s">
        <v>13</v>
      </c>
      <c r="F4" t="s">
        <v>14</v>
      </c>
      <c r="G4" s="7">
        <v>300</v>
      </c>
      <c r="H4" t="s">
        <v>9</v>
      </c>
      <c r="I4" s="28" t="s">
        <v>11</v>
      </c>
      <c r="J4" s="29">
        <f>(G20*(J3-1)*(C6-C7)+C4*J3)/(C4-G20*(J3-1)*C7)</f>
        <v>2.51219512195122</v>
      </c>
    </row>
    <row r="5" spans="2:16">
      <c r="B5" s="19" t="s">
        <v>15</v>
      </c>
      <c r="C5" s="18">
        <f>C3*C4</f>
        <v>800000</v>
      </c>
      <c r="D5" s="19" t="s">
        <v>16</v>
      </c>
      <c r="F5" t="s">
        <v>17</v>
      </c>
      <c r="G5">
        <f>SUM(G3:G4)</f>
        <v>450</v>
      </c>
      <c r="H5" t="s">
        <v>9</v>
      </c>
    </row>
    <row r="6" spans="2:16">
      <c r="B6" t="s">
        <v>18</v>
      </c>
      <c r="C6" s="7">
        <v>1</v>
      </c>
      <c r="F6" s="6" t="s">
        <v>0</v>
      </c>
    </row>
    <row r="7" spans="2:16">
      <c r="B7" t="s">
        <v>19</v>
      </c>
      <c r="C7" s="7">
        <v>0.5</v>
      </c>
    </row>
    <row r="8" spans="2:16">
      <c r="F8" s="6" t="s">
        <v>20</v>
      </c>
      <c r="G8" s="6" t="s">
        <v>21</v>
      </c>
      <c r="J8" s="24" t="s">
        <v>0</v>
      </c>
      <c r="K8" s="24"/>
    </row>
    <row r="9" spans="2:16">
      <c r="F9" s="7">
        <v>10</v>
      </c>
      <c r="G9" s="7">
        <v>36</v>
      </c>
      <c r="I9" s="6" t="s">
        <v>4</v>
      </c>
      <c r="J9" s="6" t="s">
        <v>5</v>
      </c>
      <c r="K9" s="6" t="s">
        <v>6</v>
      </c>
    </row>
    <row r="10" spans="2:16">
      <c r="F10" s="28" t="s">
        <v>84</v>
      </c>
      <c r="G10" s="33">
        <v>0.2</v>
      </c>
      <c r="I10" s="29">
        <f>J4</f>
        <v>2.51219512195122</v>
      </c>
      <c r="J10" s="29">
        <f>I10*G3</f>
        <v>376.82926829268297</v>
      </c>
      <c r="K10" s="29">
        <f>I10*C7*C3</f>
        <v>502.43902439024401</v>
      </c>
    </row>
    <row r="11" spans="2:16">
      <c r="F11" s="6"/>
      <c r="G11" s="6"/>
      <c r="H11" s="6"/>
      <c r="I11" s="29">
        <v>1</v>
      </c>
      <c r="J11" s="29">
        <f>I11*G4</f>
        <v>300</v>
      </c>
      <c r="K11" s="29">
        <f>(C6-C7)*C3*I11</f>
        <v>200</v>
      </c>
    </row>
    <row r="12" spans="2:16">
      <c r="B12" s="6" t="s">
        <v>22</v>
      </c>
      <c r="F12" s="6" t="s">
        <v>23</v>
      </c>
      <c r="I12" s="29"/>
      <c r="J12" s="32">
        <f>SUM(J10:J11)</f>
        <v>676.82926829268297</v>
      </c>
      <c r="K12" s="32">
        <f>SUM(K10:K11)</f>
        <v>702.43902439024396</v>
      </c>
    </row>
    <row r="13" spans="2:16">
      <c r="B13" t="s">
        <v>24</v>
      </c>
      <c r="C13" s="29">
        <f>J12</f>
        <v>676.82926829268297</v>
      </c>
      <c r="F13" t="s">
        <v>25</v>
      </c>
      <c r="G13" s="7">
        <v>1.5</v>
      </c>
    </row>
    <row r="14" spans="2:16">
      <c r="B14" t="s">
        <v>26</v>
      </c>
      <c r="C14" s="29">
        <f>K12</f>
        <v>702.43902439024396</v>
      </c>
      <c r="F14" t="s">
        <v>27</v>
      </c>
      <c r="G14" s="21">
        <v>500</v>
      </c>
      <c r="H14" t="s">
        <v>13</v>
      </c>
    </row>
    <row r="15" spans="2:16">
      <c r="B15" s="6" t="s">
        <v>28</v>
      </c>
      <c r="C15" s="32">
        <f>C13/C14</f>
        <v>0.96354166666666663</v>
      </c>
      <c r="F15" t="s">
        <v>29</v>
      </c>
      <c r="G15" s="22">
        <f>G13*G14</f>
        <v>750</v>
      </c>
      <c r="H15" t="s">
        <v>13</v>
      </c>
    </row>
    <row r="16" spans="2:16">
      <c r="F16" t="s">
        <v>30</v>
      </c>
      <c r="G16" s="20">
        <f>G10+(1-G10)*(G9-F9)/G9</f>
        <v>0.7777777777777779</v>
      </c>
    </row>
    <row r="18" spans="1:16">
      <c r="B18" s="6" t="s">
        <v>31</v>
      </c>
      <c r="C18" s="27">
        <f>C15*C5</f>
        <v>770833.33333333326</v>
      </c>
      <c r="F18" s="6" t="s">
        <v>32</v>
      </c>
      <c r="G18" s="27">
        <f>G15*G16*G5</f>
        <v>262500</v>
      </c>
    </row>
    <row r="19" spans="1:16">
      <c r="B19" s="6" t="s">
        <v>33</v>
      </c>
      <c r="C19" s="11">
        <v>1</v>
      </c>
      <c r="D19" s="1">
        <f>C18*C19</f>
        <v>770833.33333333326</v>
      </c>
      <c r="F19" s="6"/>
      <c r="G19" s="8"/>
      <c r="H19" s="1">
        <f>G18*C19</f>
        <v>262500</v>
      </c>
    </row>
    <row r="20" spans="1:16">
      <c r="B20" s="6" t="s">
        <v>34</v>
      </c>
      <c r="C20" s="27">
        <f>C19*(C18+G18)</f>
        <v>1033333.3333333333</v>
      </c>
      <c r="E20" s="1"/>
      <c r="F20" s="30" t="s">
        <v>83</v>
      </c>
      <c r="G20" s="31">
        <f>G18/G5</f>
        <v>583.33333333333337</v>
      </c>
    </row>
    <row r="21" spans="1:16">
      <c r="B21" s="6"/>
      <c r="C21" s="8"/>
    </row>
    <row r="22" spans="1:16">
      <c r="B22" s="6" t="s">
        <v>35</v>
      </c>
      <c r="C22" s="8"/>
    </row>
    <row r="23" spans="1:16">
      <c r="A23" s="25" t="s">
        <v>2</v>
      </c>
      <c r="B23" t="s">
        <v>36</v>
      </c>
      <c r="C23" s="12">
        <v>0.06</v>
      </c>
      <c r="E23" s="25" t="s">
        <v>37</v>
      </c>
      <c r="F23" t="s">
        <v>36</v>
      </c>
      <c r="G23" s="12">
        <v>0.06</v>
      </c>
    </row>
    <row r="24" spans="1:16">
      <c r="A24" s="25"/>
      <c r="B24" t="s">
        <v>38</v>
      </c>
      <c r="C24" s="12">
        <v>4.4999999999999998E-2</v>
      </c>
      <c r="E24" s="25"/>
      <c r="F24" t="s">
        <v>38</v>
      </c>
      <c r="G24" s="12">
        <v>0.01</v>
      </c>
    </row>
    <row r="25" spans="1:16">
      <c r="A25" s="25"/>
      <c r="B25" t="s">
        <v>39</v>
      </c>
      <c r="C25" s="12">
        <v>-1.4999999999999999E-2</v>
      </c>
      <c r="E25" s="25"/>
      <c r="F25" t="s">
        <v>30</v>
      </c>
      <c r="G25" s="12">
        <v>0.01</v>
      </c>
    </row>
    <row r="26" spans="1:16">
      <c r="E26" s="25"/>
      <c r="F26" t="s">
        <v>40</v>
      </c>
      <c r="G26" s="12">
        <v>0.01</v>
      </c>
    </row>
    <row r="27" spans="1:16">
      <c r="B27" s="6" t="s">
        <v>41</v>
      </c>
      <c r="C27" s="13">
        <f>SUM(C23:C25)</f>
        <v>0.09</v>
      </c>
      <c r="F27" s="6" t="s">
        <v>42</v>
      </c>
      <c r="G27" s="14">
        <f>SUM(G23:G26)</f>
        <v>8.9999999999999983E-2</v>
      </c>
    </row>
    <row r="29" spans="1:16">
      <c r="B29" s="6" t="s">
        <v>43</v>
      </c>
      <c r="D29" s="19" t="s">
        <v>77</v>
      </c>
      <c r="E29" s="19" t="s">
        <v>78</v>
      </c>
      <c r="F29" s="6" t="s">
        <v>44</v>
      </c>
      <c r="G29" s="6" t="s">
        <v>45</v>
      </c>
      <c r="H29" s="6" t="s">
        <v>7</v>
      </c>
      <c r="N29" s="6"/>
    </row>
    <row r="30" spans="1:16">
      <c r="B30" t="s">
        <v>10</v>
      </c>
      <c r="C30" s="29">
        <f>J10/J12</f>
        <v>0.55675675675675673</v>
      </c>
      <c r="D30" s="1">
        <f>C30*$D$19</f>
        <v>429166.66666666663</v>
      </c>
      <c r="E30" s="9">
        <f>G3*$G$15*$G$16*$C$19</f>
        <v>87500.000000000015</v>
      </c>
      <c r="F30" s="1">
        <f>(D30*C27+E30*G27)/12</f>
        <v>3874.9999999999995</v>
      </c>
      <c r="G30" s="1">
        <f>F30/G3</f>
        <v>25.833333333333329</v>
      </c>
      <c r="H30" s="1">
        <f>G30/G31</f>
        <v>1.9999999999999998</v>
      </c>
      <c r="O30" s="16"/>
    </row>
    <row r="31" spans="1:16">
      <c r="B31" t="s">
        <v>14</v>
      </c>
      <c r="C31" s="29">
        <f>J11/J12</f>
        <v>0.44324324324324321</v>
      </c>
      <c r="D31" s="1">
        <f>C31*$D$19</f>
        <v>341666.66666666663</v>
      </c>
      <c r="E31" s="9">
        <f>G4*$G$15*$G$16*$C$19</f>
        <v>175000.00000000003</v>
      </c>
      <c r="F31" s="1">
        <f>(D31*C27+E31*G27)/12</f>
        <v>3875</v>
      </c>
      <c r="G31" s="1">
        <f>F31/G4</f>
        <v>12.916666666666666</v>
      </c>
      <c r="O31" s="16"/>
    </row>
    <row r="32" spans="1:16">
      <c r="E32" s="6" t="s">
        <v>49</v>
      </c>
      <c r="F32" s="15">
        <f>SUM(F30:F31)</f>
        <v>7750</v>
      </c>
      <c r="L32" s="1"/>
      <c r="O32" s="17"/>
      <c r="P32" s="8"/>
    </row>
    <row r="34" spans="2:4">
      <c r="B34" s="6" t="s">
        <v>46</v>
      </c>
    </row>
    <row r="35" spans="2:4">
      <c r="B35" s="6" t="s">
        <v>47</v>
      </c>
      <c r="C35" s="2">
        <f>(C18*C27+G18*G27)/(C18+G18)</f>
        <v>0.09</v>
      </c>
      <c r="D35" s="1"/>
    </row>
    <row r="36" spans="2:4">
      <c r="B36" s="6" t="s">
        <v>48</v>
      </c>
      <c r="C36" s="8">
        <f>C20*C35/12</f>
        <v>7749.9999999999991</v>
      </c>
      <c r="D36" s="1"/>
    </row>
    <row r="37" spans="2:4">
      <c r="D37" s="1"/>
    </row>
  </sheetData>
  <mergeCells count="3">
    <mergeCell ref="J8:K8"/>
    <mergeCell ref="A23:A25"/>
    <mergeCell ref="E23:E26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8"/>
  <sheetViews>
    <sheetView tabSelected="1" workbookViewId="0">
      <selection activeCell="F18" sqref="F18:F19"/>
    </sheetView>
  </sheetViews>
  <sheetFormatPr defaultColWidth="8.88671875" defaultRowHeight="13.8"/>
  <cols>
    <col min="1" max="1" width="6.33203125" customWidth="1"/>
    <col min="2" max="2" width="24.33203125" customWidth="1"/>
    <col min="3" max="7" width="17.77734375" customWidth="1"/>
    <col min="8" max="8" width="15.21875" customWidth="1"/>
    <col min="9" max="9" width="13" customWidth="1"/>
    <col min="10" max="10" width="14" customWidth="1"/>
    <col min="11" max="11" width="17.109375"/>
    <col min="12" max="12" width="11.6640625"/>
    <col min="13" max="14" width="9.44140625"/>
    <col min="15" max="15" width="4.5546875" customWidth="1"/>
    <col min="17" max="17" width="4.5546875" customWidth="1"/>
  </cols>
  <sheetData>
    <row r="1" spans="1:16">
      <c r="B1" t="s">
        <v>19</v>
      </c>
      <c r="C1">
        <f>CA!C7</f>
        <v>0.5</v>
      </c>
      <c r="E1" t="s">
        <v>29</v>
      </c>
      <c r="F1" s="22">
        <f>CA!G15</f>
        <v>750</v>
      </c>
      <c r="H1" t="s">
        <v>50</v>
      </c>
      <c r="I1">
        <f>CA!F9</f>
        <v>10</v>
      </c>
      <c r="L1" s="6" t="s">
        <v>51</v>
      </c>
    </row>
    <row r="2" spans="1:16">
      <c r="B2" t="s">
        <v>52</v>
      </c>
      <c r="C2">
        <f>CA!C6</f>
        <v>1</v>
      </c>
      <c r="E2" t="s">
        <v>30</v>
      </c>
      <c r="F2" s="29">
        <f>CA!G16</f>
        <v>0.7777777777777779</v>
      </c>
      <c r="H2" t="s">
        <v>21</v>
      </c>
      <c r="I2">
        <f>CA!G9</f>
        <v>36</v>
      </c>
      <c r="L2" s="6" t="s">
        <v>53</v>
      </c>
      <c r="M2" s="8">
        <f>I12/I13</f>
        <v>1.9117647058823533</v>
      </c>
    </row>
    <row r="3" spans="1:16">
      <c r="B3" t="s">
        <v>12</v>
      </c>
      <c r="C3" s="1">
        <f>CA!C4</f>
        <v>2000</v>
      </c>
      <c r="D3" s="1"/>
      <c r="E3" s="1" t="s">
        <v>42</v>
      </c>
      <c r="F3" s="2">
        <f>CA!G27</f>
        <v>8.9999999999999983E-2</v>
      </c>
      <c r="L3" s="6" t="s">
        <v>54</v>
      </c>
      <c r="M3" s="1">
        <f>(F1*F2*(M2-1)*(C2-C1)+C3*M2)/(C3-F1*F2*(M2-1)*C1)</f>
        <v>2.3583038869257953</v>
      </c>
    </row>
    <row r="4" spans="1:16">
      <c r="B4" t="s">
        <v>55</v>
      </c>
      <c r="C4" s="1">
        <f>CA!C3</f>
        <v>400</v>
      </c>
      <c r="D4" s="1"/>
      <c r="E4" s="1"/>
      <c r="F4" s="1"/>
    </row>
    <row r="5" spans="1:16">
      <c r="B5" t="s">
        <v>41</v>
      </c>
      <c r="C5" s="2">
        <f>CA!C27</f>
        <v>0.09</v>
      </c>
      <c r="E5" t="s">
        <v>33</v>
      </c>
      <c r="F5" s="1">
        <f>CA!C19</f>
        <v>1</v>
      </c>
    </row>
    <row r="6" spans="1:16">
      <c r="E6" t="s">
        <v>56</v>
      </c>
      <c r="F6" s="2">
        <f>CA!C35</f>
        <v>0.09</v>
      </c>
    </row>
    <row r="7" spans="1:16">
      <c r="F7" s="2"/>
    </row>
    <row r="8" spans="1:16">
      <c r="B8" s="3" t="s">
        <v>57</v>
      </c>
    </row>
    <row r="9" spans="1:16">
      <c r="B9" s="3"/>
    </row>
    <row r="10" spans="1:16">
      <c r="B10" s="4" t="s">
        <v>58</v>
      </c>
      <c r="N10" s="6" t="s">
        <v>59</v>
      </c>
    </row>
    <row r="11" spans="1:16">
      <c r="A11" s="26" t="s">
        <v>60</v>
      </c>
      <c r="B11" s="5" t="s">
        <v>61</v>
      </c>
      <c r="C11" s="6" t="s">
        <v>3</v>
      </c>
      <c r="D11" s="6" t="s">
        <v>4</v>
      </c>
      <c r="E11" s="6" t="s">
        <v>62</v>
      </c>
      <c r="F11" s="6" t="s">
        <v>63</v>
      </c>
      <c r="G11" s="6" t="s">
        <v>32</v>
      </c>
      <c r="H11" s="6" t="s">
        <v>44</v>
      </c>
      <c r="I11" s="6" t="s">
        <v>64</v>
      </c>
      <c r="J11" s="6" t="s">
        <v>65</v>
      </c>
      <c r="K11" s="6" t="s">
        <v>66</v>
      </c>
      <c r="M11" s="6" t="s">
        <v>66</v>
      </c>
      <c r="O11" s="6" t="s">
        <v>67</v>
      </c>
    </row>
    <row r="12" spans="1:16">
      <c r="A12" s="26"/>
      <c r="B12" t="s">
        <v>10</v>
      </c>
      <c r="C12" s="7">
        <f>CA!G3</f>
        <v>150</v>
      </c>
      <c r="D12" s="29">
        <f>CA!J4</f>
        <v>2.51219512195122</v>
      </c>
      <c r="E12" s="29">
        <f>C12*D12</f>
        <v>376.82926829268297</v>
      </c>
      <c r="F12" s="1">
        <f>$C$3*E12*(0.2+0.8*($I$2-$I$1)/$I$2)/($C$1*$D$12+($C$2-$C$1)*$D$13)</f>
        <v>333796.29629629635</v>
      </c>
      <c r="G12" s="1">
        <f>C12*$F$1*$F$2</f>
        <v>87500.000000000015</v>
      </c>
      <c r="H12" s="1">
        <f>$F$5*(F12*$C$5+G12*$F$3)/12</f>
        <v>3159.7222222222226</v>
      </c>
      <c r="I12" s="1">
        <f>H12/C12</f>
        <v>21.064814814814817</v>
      </c>
      <c r="J12" s="2">
        <f>12*H12/(F12+G12)</f>
        <v>0.09</v>
      </c>
      <c r="K12" s="1">
        <f>12*H12/(J12*C12)</f>
        <v>2808.6419753086425</v>
      </c>
      <c r="M12" s="1">
        <f>(F12+G12)/C12</f>
        <v>2808.6419753086425</v>
      </c>
      <c r="N12" t="str">
        <f>IF(K12=M12,"OK!","ERRO!")</f>
        <v>OK!</v>
      </c>
      <c r="O12" s="1">
        <f>K12*J12/12</f>
        <v>21.06481481481482</v>
      </c>
      <c r="P12" t="str">
        <f>IF(I12=O12,"OK!","ERRO")</f>
        <v>OK!</v>
      </c>
    </row>
    <row r="13" spans="1:16">
      <c r="A13" s="26"/>
      <c r="B13" t="s">
        <v>14</v>
      </c>
      <c r="C13" s="7">
        <f>CA!G4</f>
        <v>300</v>
      </c>
      <c r="D13">
        <f>CA!I11</f>
        <v>1</v>
      </c>
      <c r="E13">
        <f>C13*D13</f>
        <v>300</v>
      </c>
      <c r="F13" s="1">
        <f>$C$3*E13*(0.2+0.8*($I$2-$I$1)/$I$2)/($C$1*$D$12+($C$2-$C$1)*$D$13)</f>
        <v>265740.74074074073</v>
      </c>
      <c r="G13" s="1">
        <f>C13*$F$1*$F$2</f>
        <v>175000.00000000003</v>
      </c>
      <c r="H13" s="1">
        <f>$F$5*(F13*$C$5+G13*$F$3)/12</f>
        <v>3305.5555555555552</v>
      </c>
      <c r="I13" s="1">
        <f>H13/C13</f>
        <v>11.018518518518517</v>
      </c>
      <c r="J13" s="2">
        <f>12*H13/(F13+G13)</f>
        <v>8.9999999999999983E-2</v>
      </c>
      <c r="K13" s="1">
        <f>12*H13/(J13*C13)</f>
        <v>1469.1358024691358</v>
      </c>
      <c r="M13" s="1">
        <f>(F13+G13)/C13</f>
        <v>1469.135802469136</v>
      </c>
      <c r="N13" t="str">
        <f>IF(K13=M13,"OK!","ERRO!")</f>
        <v>OK!</v>
      </c>
      <c r="O13" s="1">
        <f>K13*J13/12</f>
        <v>11.018518518518517</v>
      </c>
      <c r="P13" t="str">
        <f>IF(I13=O13,"OK!","ERRO")</f>
        <v>OK!</v>
      </c>
    </row>
    <row r="14" spans="1:16">
      <c r="A14" s="26"/>
      <c r="B14" s="6" t="s">
        <v>68</v>
      </c>
      <c r="C14">
        <f>SUM(C12:C13)</f>
        <v>450</v>
      </c>
      <c r="F14" s="1">
        <f>SUM(F12:F13)</f>
        <v>599537.03703703708</v>
      </c>
      <c r="G14" s="1">
        <f>SUM(G12:G13)</f>
        <v>262500.00000000006</v>
      </c>
      <c r="H14" s="8">
        <f>SUM(H12:H13)</f>
        <v>6465.2777777777774</v>
      </c>
      <c r="M14" s="1"/>
    </row>
    <row r="16" spans="1:16">
      <c r="B16" s="4" t="s">
        <v>76</v>
      </c>
    </row>
    <row r="17" spans="2:12">
      <c r="B17" s="6"/>
      <c r="C17" s="6" t="s">
        <v>3</v>
      </c>
      <c r="D17" s="6" t="s">
        <v>4</v>
      </c>
      <c r="E17" s="6" t="s">
        <v>69</v>
      </c>
      <c r="F17" s="6" t="s">
        <v>70</v>
      </c>
      <c r="G17" s="6" t="s">
        <v>32</v>
      </c>
      <c r="H17" s="6" t="s">
        <v>44</v>
      </c>
      <c r="I17" s="6" t="s">
        <v>64</v>
      </c>
      <c r="J17" s="6" t="s">
        <v>59</v>
      </c>
    </row>
    <row r="18" spans="2:12">
      <c r="B18" t="s">
        <v>71</v>
      </c>
      <c r="C18" s="7">
        <v>90</v>
      </c>
      <c r="D18" s="34">
        <f>D12</f>
        <v>2.51219512195122</v>
      </c>
      <c r="E18" s="29">
        <f>C18*D18</f>
        <v>226.09756097560981</v>
      </c>
      <c r="F18" s="1">
        <f>$C$3*E18*(0.2+0.8*($I$2-$I$1)/$I$2)/($C$1*$D$12+($C$2-$C$1)*$D$13)</f>
        <v>200277.77777777781</v>
      </c>
      <c r="G18" s="1">
        <f>C18*$F$1*$F$2</f>
        <v>52500.000000000007</v>
      </c>
      <c r="H18" s="1">
        <f>$F$5*(F18*$C$5+G18*$F$3)/12</f>
        <v>1895.8333333333337</v>
      </c>
      <c r="I18" s="1">
        <f>H18/C18</f>
        <v>21.06481481481482</v>
      </c>
      <c r="J18" t="str">
        <f>IF(I18=I12,"Ok!","ERRO")</f>
        <v>Ok!</v>
      </c>
      <c r="L18" s="1">
        <f>C18/$C$12*$H$12</f>
        <v>1895.8333333333335</v>
      </c>
    </row>
    <row r="19" spans="2:12">
      <c r="B19" t="s">
        <v>72</v>
      </c>
      <c r="C19" s="7">
        <v>60</v>
      </c>
      <c r="D19" s="34">
        <f>D12</f>
        <v>2.51219512195122</v>
      </c>
      <c r="E19" s="29">
        <f>C19*D19</f>
        <v>150.73170731707319</v>
      </c>
      <c r="F19" s="1">
        <f>$C$3*E19*(0.2+0.8*($I$2-$I$1)/$I$2)/($C$1*$D$12+($C$2-$C$1)*$D$13)</f>
        <v>133518.51851851854</v>
      </c>
      <c r="G19" s="1">
        <f>C19*$F$1*$F$2</f>
        <v>35000.000000000007</v>
      </c>
      <c r="H19" s="1">
        <f>$F$5*(F19*$C$5+G19*$F$3)/12</f>
        <v>1263.8888888888889</v>
      </c>
      <c r="I19" s="1">
        <f>H19/C19</f>
        <v>21.064814814814817</v>
      </c>
      <c r="L19" s="1">
        <f>C19/$C$12*$H$12</f>
        <v>1263.8888888888891</v>
      </c>
    </row>
    <row r="20" spans="2:12">
      <c r="B20" t="s">
        <v>73</v>
      </c>
      <c r="C20" s="7">
        <v>150</v>
      </c>
      <c r="D20" s="35">
        <f>D13</f>
        <v>1</v>
      </c>
      <c r="E20">
        <f>C20*D20</f>
        <v>150</v>
      </c>
      <c r="F20" s="1">
        <f>$C$3*E20*(0.2+0.8*($I$2-$I$1)/$I$2)/($C$1*$D$12+($C$2-$C$1)*$D$13)</f>
        <v>132870.37037037036</v>
      </c>
      <c r="G20" s="1">
        <f>C20*$F$1*$F$2</f>
        <v>87500.000000000015</v>
      </c>
      <c r="H20" s="1">
        <f>$F$5*(F20*$C$5+G20*$F$3)/12</f>
        <v>1652.7777777777776</v>
      </c>
      <c r="I20" s="1">
        <f>H20/C20</f>
        <v>11.018518518518517</v>
      </c>
      <c r="J20" t="str">
        <f>IF(I20=I13,"Ok!","ERRO")</f>
        <v>Ok!</v>
      </c>
      <c r="L20" s="1">
        <f>C20/$C$13*$H$13</f>
        <v>1652.7777777777776</v>
      </c>
    </row>
    <row r="21" spans="2:12">
      <c r="B21" t="s">
        <v>74</v>
      </c>
      <c r="C21" s="7">
        <v>60</v>
      </c>
      <c r="D21" s="35">
        <f>D13</f>
        <v>1</v>
      </c>
      <c r="E21">
        <f>C21*D21</f>
        <v>60</v>
      </c>
      <c r="F21" s="1">
        <f>$C$3*E21*(0.2+0.8*($I$2-$I$1)/$I$2)/($C$1*$D$12+($C$2-$C$1)*$D$13)</f>
        <v>53148.148148148146</v>
      </c>
      <c r="G21" s="1">
        <f>C21*$F$1*$F$2</f>
        <v>35000.000000000007</v>
      </c>
      <c r="H21" s="1">
        <f>$F$5*(F21*$C$5+G21*$F$3)/12</f>
        <v>661.11111111111109</v>
      </c>
      <c r="I21" s="1">
        <f>H21/C21</f>
        <v>11.018518518518517</v>
      </c>
      <c r="L21" s="1">
        <f>C21/$C$13*$H$13</f>
        <v>661.11111111111109</v>
      </c>
    </row>
    <row r="22" spans="2:12">
      <c r="B22" t="s">
        <v>75</v>
      </c>
      <c r="C22" s="7">
        <v>90</v>
      </c>
      <c r="D22" s="35">
        <f>D13</f>
        <v>1</v>
      </c>
      <c r="E22">
        <f>C22*D22</f>
        <v>90</v>
      </c>
      <c r="F22" s="1">
        <f>$C$3*E22*(0.2+0.8*($I$2-$I$1)/$I$2)/($C$1*$D$12+($C$2-$C$1)*$D$13)</f>
        <v>79722.222222222234</v>
      </c>
      <c r="G22" s="1">
        <f>C22*$F$1*$F$2</f>
        <v>52500.000000000007</v>
      </c>
      <c r="H22" s="1">
        <f>$F$5*(F22*$C$5+G22*$F$3)/12</f>
        <v>991.66666666666663</v>
      </c>
      <c r="I22" s="1">
        <f>H22/C22</f>
        <v>11.018518518518517</v>
      </c>
      <c r="L22" s="1">
        <f>C22/$C$13*$H$13</f>
        <v>991.66666666666652</v>
      </c>
    </row>
    <row r="23" spans="2:12">
      <c r="F23" s="8">
        <f>SUM(F18:F22)</f>
        <v>599537.03703703708</v>
      </c>
      <c r="G23" s="8">
        <f>SUM(G18:G22)</f>
        <v>262500.00000000006</v>
      </c>
      <c r="H23" s="8">
        <f>SUM(H18:H22)</f>
        <v>6465.2777777777783</v>
      </c>
    </row>
    <row r="25" spans="2:12">
      <c r="F25" s="1"/>
      <c r="G25" s="1"/>
    </row>
    <row r="26" spans="2:12">
      <c r="F26" s="23"/>
      <c r="G26" s="9"/>
    </row>
    <row r="28" spans="2:12">
      <c r="F28" s="1"/>
    </row>
  </sheetData>
  <mergeCells count="1">
    <mergeCell ref="A11: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</vt:lpstr>
      <vt:lpstr>Cota Parte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lfpdr</dc:creator>
  <cp:lastModifiedBy>Luiz F P Droubi</cp:lastModifiedBy>
  <dcterms:created xsi:type="dcterms:W3CDTF">2022-03-04T16:37:00Z</dcterms:created>
  <dcterms:modified xsi:type="dcterms:W3CDTF">2026-01-18T21:41:51Z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95FB2130EBC24EEB96F5DE87680D5314</vt:lpwstr>
  </property>
  <property fmtid="{D5CDD505-2E9C-101B-9397-08002B2CF9AE}" pid="3" name="KSOProductBuildVer">
    <vt:lpwstr>1046-11.2.0.11029</vt:lpwstr>
  </property>
</Properties>
</file>